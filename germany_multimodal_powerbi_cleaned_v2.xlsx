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ersional Project\"/>
    </mc:Choice>
  </mc:AlternateContent>
  <xr:revisionPtr revIDLastSave="0" documentId="13_ncr:1_{BCB808B2-D560-45BC-AD81-0279EFF6A357}" xr6:coauthVersionLast="47" xr6:coauthVersionMax="47" xr10:uidLastSave="{00000000-0000-0000-0000-000000000000}"/>
  <bookViews>
    <workbookView xWindow="-98" yWindow="-98" windowWidth="24196" windowHeight="14476" firstSheet="4" activeTab="6" xr2:uid="{00000000-000D-0000-FFFF-FFFF00000000}"/>
  </bookViews>
  <sheets>
    <sheet name="00_Import_Guide" sheetId="1" r:id="rId1"/>
    <sheet name="Validation_Summary" sheetId="2" r:id="rId2"/>
    <sheet name="Formula_Library" sheetId="3" r:id="rId3"/>
    <sheet name="01_Data_Dictionary" sheetId="4" r:id="rId4"/>
    <sheet name="Project_Assumptions" sheetId="5" r:id="rId5"/>
    <sheet name="Dim_Corridor" sheetId="6" r:id="rId6"/>
    <sheet name="Dim_Mode" sheetId="7" r:id="rId7"/>
    <sheet name="Dim_NodeMapping" sheetId="8" r:id="rId8"/>
    <sheet name="Fact_CorridorMode" sheetId="9" r:id="rId9"/>
    <sheet name="Dim_Scenario" sheetId="10" r:id="rId10"/>
    <sheet name="Dim_City_Map" sheetId="11" r:id="rId11"/>
    <sheet name="Source_CorridorMode" sheetId="12" r:id="rId12"/>
    <sheet name="Method_Notes" sheetId="13" r:id="rId13"/>
    <sheet name="Dropped_from_Original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2" l="1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A19" i="9"/>
  <c r="N19" i="9"/>
  <c r="L19" i="9"/>
  <c r="K19" i="9"/>
  <c r="A19" i="9"/>
  <c r="AA18" i="9"/>
  <c r="N18" i="9"/>
  <c r="L18" i="9"/>
  <c r="K18" i="9"/>
  <c r="A18" i="9"/>
  <c r="AA17" i="9"/>
  <c r="N17" i="9"/>
  <c r="L17" i="9"/>
  <c r="K17" i="9"/>
  <c r="A17" i="9"/>
  <c r="AA16" i="9"/>
  <c r="N16" i="9"/>
  <c r="L16" i="9"/>
  <c r="K16" i="9"/>
  <c r="A16" i="9"/>
  <c r="AA15" i="9"/>
  <c r="N15" i="9"/>
  <c r="L15" i="9"/>
  <c r="K15" i="9"/>
  <c r="A15" i="9"/>
  <c r="AA14" i="9"/>
  <c r="N14" i="9"/>
  <c r="L14" i="9"/>
  <c r="K14" i="9"/>
  <c r="A14" i="9"/>
  <c r="AA13" i="9"/>
  <c r="N13" i="9"/>
  <c r="L13" i="9"/>
  <c r="K13" i="9"/>
  <c r="A13" i="9"/>
  <c r="AA12" i="9"/>
  <c r="N12" i="9"/>
  <c r="L12" i="9"/>
  <c r="K12" i="9"/>
  <c r="A12" i="9"/>
  <c r="AA11" i="9"/>
  <c r="N11" i="9"/>
  <c r="L11" i="9"/>
  <c r="K11" i="9"/>
  <c r="A11" i="9"/>
  <c r="AA10" i="9"/>
  <c r="N10" i="9"/>
  <c r="L10" i="9"/>
  <c r="K10" i="9"/>
  <c r="A10" i="9"/>
  <c r="AA9" i="9"/>
  <c r="N9" i="9"/>
  <c r="L9" i="9"/>
  <c r="K9" i="9"/>
  <c r="A9" i="9"/>
  <c r="AA8" i="9"/>
  <c r="N8" i="9"/>
  <c r="L8" i="9"/>
  <c r="K8" i="9"/>
  <c r="A8" i="9"/>
  <c r="AA7" i="9"/>
  <c r="N7" i="9"/>
  <c r="L7" i="9"/>
  <c r="K7" i="9"/>
  <c r="A7" i="9"/>
  <c r="AA6" i="9"/>
  <c r="N6" i="9"/>
  <c r="L6" i="9"/>
  <c r="K6" i="9"/>
  <c r="A6" i="9"/>
  <c r="AA5" i="9"/>
  <c r="N5" i="9"/>
  <c r="L5" i="9"/>
  <c r="K5" i="9"/>
  <c r="A5" i="9"/>
  <c r="AA4" i="9"/>
  <c r="N4" i="9"/>
  <c r="L4" i="9"/>
  <c r="K4" i="9"/>
  <c r="A4" i="9"/>
  <c r="AA3" i="9"/>
  <c r="N3" i="9"/>
  <c r="L3" i="9"/>
  <c r="K3" i="9"/>
  <c r="A3" i="9"/>
  <c r="AA2" i="9"/>
  <c r="N2" i="9"/>
  <c r="L2" i="9"/>
  <c r="K2" i="9"/>
  <c r="A2" i="9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<sst xmlns="http://schemas.openxmlformats.org/spreadsheetml/2006/main" count="1002" uniqueCount="445">
  <si>
    <t>Power BI Import Guide</t>
  </si>
  <si>
    <t>Use these tables in Power BI</t>
  </si>
  <si>
    <t>Core import</t>
  </si>
  <si>
    <t>Fact_CorridorMode, Dim_Corridor, Dim_Mode, Dim_Scenario</t>
  </si>
  <si>
    <t>Optional support</t>
  </si>
  <si>
    <t>Dim_NodeMapping, Source_CorridorMode, Method_Notes, Project_Assumptions</t>
  </si>
  <si>
    <t>Validation status</t>
  </si>
  <si>
    <t>Dataset audited: complete, no missing core values, scenarios aligned to frozen design</t>
  </si>
  <si>
    <t>Important note</t>
  </si>
  <si>
    <t>IWT remains a pure-mode barge comparison; T6 uses Basel Rheinhäfen proxy for Weil am Rhein</t>
  </si>
  <si>
    <t>Primary key</t>
  </si>
  <si>
    <t>CorridorMode_Key = Corridor_ID &amp; "_" &amp; Mode_ID</t>
  </si>
  <si>
    <t>Relationship 1</t>
  </si>
  <si>
    <t>Fact_CorridorMode[Corridor_ID] → Dim_Corridor[Corridor_ID]</t>
  </si>
  <si>
    <t>Relationship 2</t>
  </si>
  <si>
    <t>Fact_CorridorMode[Mode_ID] → Dim_Mode[Mode_ID]</t>
  </si>
  <si>
    <t>Relationship 3</t>
  </si>
  <si>
    <t>Fact_CorridorMode[CorridorMode_Key] → Dim_NodeMapping[CorridorMode_Key]</t>
  </si>
  <si>
    <t>Relationship 4</t>
  </si>
  <si>
    <t>Fact_CorridorMode[CorridorMode_Key] → Source_CorridorMode[CorridorMode_Key]</t>
  </si>
  <si>
    <t>Geography note</t>
  </si>
  <si>
    <t>For city mapping, create role-playing dimensions in Power BI if you want separate origin and destination location tables.</t>
  </si>
  <si>
    <t>Metric display tip</t>
  </si>
  <si>
    <t>Use Cost_EUR_per_1000_tkm for cards/charts and keep Cost_EUR_per_tkm in the model for methodological transparency.</t>
  </si>
  <si>
    <t>Important disclosure</t>
  </si>
  <si>
    <t>IWT is modeled as barge-only port-to-port movement; it excludes truck pre/post legs and therefore must be presented as a pure-mode comparison.</t>
  </si>
  <si>
    <t>Check</t>
  </si>
  <si>
    <t>Result</t>
  </si>
  <si>
    <t>Comment</t>
  </si>
  <si>
    <t>Fact rows</t>
  </si>
  <si>
    <t>18</t>
  </si>
  <si>
    <t>6 corridors × 3 modes = complete coverage</t>
  </si>
  <si>
    <t>Unique corridor-mode keys</t>
  </si>
  <si>
    <t>No duplicate keys found</t>
  </si>
  <si>
    <t>Missing values in core fact fields</t>
  </si>
  <si>
    <t>0</t>
  </si>
  <si>
    <t>Distance, cost, time and CO2 fields are complete</t>
  </si>
  <si>
    <t>Corridors</t>
  </si>
  <si>
    <t>6</t>
  </si>
  <si>
    <t>T1 to T6 only</t>
  </si>
  <si>
    <t>Modes</t>
  </si>
  <si>
    <t>3</t>
  </si>
  <si>
    <t>ROAD, RAIL, IWT</t>
  </si>
  <si>
    <t>Scenario table status</t>
  </si>
  <si>
    <t>Updated</t>
  </si>
  <si>
    <t>Aligned to frozen project design: Baseline, High Carbon Price, Fuel Cost Shock, Express Rail Improvement</t>
  </si>
  <si>
    <t>Unit consistency</t>
  </si>
  <si>
    <t>Pass</t>
  </si>
  <si>
    <t>Distance = km; cost = EUR/tkm; emissions = g CO2e/tkm; time = hours</t>
  </si>
  <si>
    <t>Important limitation</t>
  </si>
  <si>
    <t>Disclosure required</t>
  </si>
  <si>
    <t>IWT is represented as pure-mode barge comparison; T6 uses Basel Rheinhäfen as nearest proxy for Weil am Rhein</t>
  </si>
  <si>
    <t>Metric</t>
  </si>
  <si>
    <t>Symbolic formula</t>
  </si>
  <si>
    <t>Power BI / implementation logic</t>
  </si>
  <si>
    <t>Purpose</t>
  </si>
  <si>
    <t>Transport work (tkm)</t>
  </si>
  <si>
    <t>TransportWork = Distance_km × Shipment_tonnes</t>
  </si>
  <si>
    <t>TransportWork_tkm = Distance_km * SelectedShipmentTonnes</t>
  </si>
  <si>
    <t>Base for shipment-level cost and emissions</t>
  </si>
  <si>
    <t>Cost per 1,000 tkm</t>
  </si>
  <si>
    <t>Cost_1000tkm = Cost_tkm × 1000</t>
  </si>
  <si>
    <t>Cost per 1000 tkm = [Cost per tkm] * 1000</t>
  </si>
  <si>
    <t>Readable KPI display</t>
  </si>
  <si>
    <t>Transport cost per shipment</t>
  </si>
  <si>
    <t>TransportCost = Cost_tkm × Distance_km × Shipment_tonnes</t>
  </si>
  <si>
    <t>Transport cost = [Cost per tkm] * [Distance km] * [Shipment tonnes]</t>
  </si>
  <si>
    <t>Main shipment economics</t>
  </si>
  <si>
    <t>Handling cost per shipment</t>
  </si>
  <si>
    <t>HandlingCost = Handling_EUR_per_tonne × Shipment_tonnes</t>
  </si>
  <si>
    <t>Handling cost = [Handling EUR/tonne] * [Shipment tonnes]</t>
  </si>
  <si>
    <t>Captures loading/unloading effects</t>
  </si>
  <si>
    <t>Carbon cost</t>
  </si>
  <si>
    <t>CarbonCost = Total_WTW_tCO2e × CarbonPrice_EUR_per_tonne</t>
  </si>
  <si>
    <t>Carbon cost = DIVIDE([Total WTW kg CO2e],1000) * [Carbon price €/t]</t>
  </si>
  <si>
    <t>Adds policy-cost signal</t>
  </si>
  <si>
    <t>Total cost under scenario</t>
  </si>
  <si>
    <t>TotalCost = TransportCost_scn + HandlingCost + CarbonCost_scn</t>
  </si>
  <si>
    <t>Total cost scenario = [Transport cost scenario] + [Handling cost] + [Carbon cost scenario]</t>
  </si>
  <si>
    <t>Final economic comparison</t>
  </si>
  <si>
    <t>Total WTW emissions per shipment (kg)</t>
  </si>
  <si>
    <t>Total_WTW_kg = (WTW_g_per_tkm × Distance_km × Shipment_tonnes) / 1000</t>
  </si>
  <si>
    <t>Total WTW kg = DIVIDE([WTW g/tkm] * [Distance km] * [Shipment tonnes],1000)</t>
  </si>
  <si>
    <t>Absolute climate impact</t>
  </si>
  <si>
    <t>Total TTW emissions per shipment (kg)</t>
  </si>
  <si>
    <t>Total_TTW_kg = (TTW_g_per_tkm × Distance_km × Shipment_tonnes) / 1000</t>
  </si>
  <si>
    <t>Total TTW kg = DIVIDE([TTW g/tkm] * [Distance km] * [Shipment tonnes],1000)</t>
  </si>
  <si>
    <t>Tailpipe / tank-to-wheel impact</t>
  </si>
  <si>
    <t>Transit time per shipment</t>
  </si>
  <si>
    <t>TransitTime = (Distance_km / Speed_kmph) + Handling_hours</t>
  </si>
  <si>
    <t>Transit time = DIVIDE([Distance km],[Speed kmph]) + [Handling hours]</t>
  </si>
  <si>
    <t>Service-level KPI</t>
  </si>
  <si>
    <t>Scenario-adjusted transport cost</t>
  </si>
  <si>
    <t>TransportCost_scn = ScenarioCost_tkm(mode) × Distance_km × Shipment_tonnes</t>
  </si>
  <si>
    <t>Use selected scenario cost for mode, then multiply by distance and shipment tonnes</t>
  </si>
  <si>
    <t>Stress-test operating conditions</t>
  </si>
  <si>
    <t>Scenario-adjusted emissions</t>
  </si>
  <si>
    <t>Total_WTW_kg_scn = ScenarioEmissions_kg_tkm(mode) × Distance_km × Shipment_tonnes</t>
  </si>
  <si>
    <t>Use scenario emissions factor in kg/tkm; multiply by distance and tonnes</t>
  </si>
  <si>
    <t>Scenario comparison</t>
  </si>
  <si>
    <t>Scenario-adjusted transit time</t>
  </si>
  <si>
    <t>TransitTime_scn = BaseTransitTime × ScenarioTimeFactor(mode)</t>
  </si>
  <si>
    <t>Transit time scenario = [Transit time base] * [Scenario time factor]</t>
  </si>
  <si>
    <t>Express rail / speed effects</t>
  </si>
  <si>
    <t>Time penalty vs fastest mode</t>
  </si>
  <si>
    <t>TimePenalty = ModeTime - MIN(ModeTime across selected corridor)</t>
  </si>
  <si>
    <t>Time penalty = [Mode transit time] - MINX(ALLSELECTED(Mode), [Mode transit time])</t>
  </si>
  <si>
    <t>Measures service sacrifice</t>
  </si>
  <si>
    <t>Cost change %</t>
  </si>
  <si>
    <t>%ΔCost = (NewCost - BaseCost) / BaseCost</t>
  </si>
  <si>
    <t>Cost change % = DIVIDE([New cost]-[Base cost],[Base cost])</t>
  </si>
  <si>
    <t>Mode-switch trade-off</t>
  </si>
  <si>
    <t>CO2 change %</t>
  </si>
  <si>
    <t>%ΔCO2 = (NewCO2 - BaseCO2) / BaseCO2</t>
  </si>
  <si>
    <t>CO2 change % = DIVIDE([New CO2]-[Base CO2],[Base CO2])</t>
  </si>
  <si>
    <t>CO2 reduction %</t>
  </si>
  <si>
    <t>CO2_Reduction% = (BaseCO2 - NewCO2) / BaseCO2</t>
  </si>
  <si>
    <t>CO2 reduction % = DIVIDE([Base CO2]-[New CO2],[Base CO2])</t>
  </si>
  <si>
    <t>Positive reduction framing</t>
  </si>
  <si>
    <t>Cost per kg CO2 saved</t>
  </si>
  <si>
    <t>Cost_per_kg_saved = (NewCost - BaseCost) / (BaseCO2 - NewCO2)</t>
  </si>
  <si>
    <t>Cost per kg CO2 saved = DIVIDE([New cost]-[Base cost],[Base CO2]-[New CO2])</t>
  </si>
  <si>
    <t>High-impact trade-off metric</t>
  </si>
  <si>
    <t>Feasibility flag</t>
  </si>
  <si>
    <t>Feasible = IF(Time&lt;=MaxTime AND Cost&lt;=MaxBudget AND CO2&lt;=MaxCO2,1,0)</t>
  </si>
  <si>
    <t>Return 1/0 or Yes/No against user thresholds</t>
  </si>
  <si>
    <t>Real-world filtering</t>
  </si>
  <si>
    <t>Normalized cost score</t>
  </si>
  <si>
    <t>CostScore = (Cost - MinCost) / (MaxCost - MinCost)</t>
  </si>
  <si>
    <t>Normalize within current filter context</t>
  </si>
  <si>
    <t>Input to decision engine</t>
  </si>
  <si>
    <t>Normalized time score</t>
  </si>
  <si>
    <t>TimeScore = (Time - MinTime) / (MaxTime - MinTime)</t>
  </si>
  <si>
    <t>Normalized CO2 score</t>
  </si>
  <si>
    <t>CO2Score = (CO2 - MinCO2) / (MaxCO2 - MinCO2)</t>
  </si>
  <si>
    <t>Weighted decision score</t>
  </si>
  <si>
    <t>DecisionScore = w_cost×CostScore + w_time×TimeScore + w_CO2×CO2Score</t>
  </si>
  <si>
    <t>Weights come from selected business profile</t>
  </si>
  <si>
    <t>Mode recommendation engine</t>
  </si>
  <si>
    <t>Recommended mode rank</t>
  </si>
  <si>
    <t>Rank = RANK(DecisionScore, ascending)</t>
  </si>
  <si>
    <t>Use RANKX over visible modes; lowest score = best</t>
  </si>
  <si>
    <t>Returns final recommendation</t>
  </si>
  <si>
    <t>Carbon cost share %</t>
  </si>
  <si>
    <t>CarbonCostShare = CarbonCost / TotalCost</t>
  </si>
  <si>
    <t>Carbon cost share % = DIVIDE([Carbon cost],[Total cost])</t>
  </si>
  <si>
    <t>Shows policy sensitivity</t>
  </si>
  <si>
    <t>Sheet</t>
  </si>
  <si>
    <t>Column</t>
  </si>
  <si>
    <t>Description</t>
  </si>
  <si>
    <t>Keep_for_PowerBI</t>
  </si>
  <si>
    <t>Dim_Corridor</t>
  </si>
  <si>
    <t>Corridor_ID</t>
  </si>
  <si>
    <t>Unique corridor identifier.</t>
  </si>
  <si>
    <t>Yes</t>
  </si>
  <si>
    <t>Corridor_Order</t>
  </si>
  <si>
    <t>Numeric sort key for corridor order in visuals.</t>
  </si>
  <si>
    <t>Corridor_Name</t>
  </si>
  <si>
    <t>Display label for origin–destination corridor.</t>
  </si>
  <si>
    <t>Origin_City</t>
  </si>
  <si>
    <t>Origin city label.</t>
  </si>
  <si>
    <t>Destination_City</t>
  </si>
  <si>
    <t>Destination city label.</t>
  </si>
  <si>
    <t>Corridor_Group</t>
  </si>
  <si>
    <t>Higher-level grouping used in the source model.</t>
  </si>
  <si>
    <t>Notes</t>
  </si>
  <si>
    <t>Method notes from the source workbook.</t>
  </si>
  <si>
    <t>Has_IWT_Proxy_Port</t>
  </si>
  <si>
    <t>Indicates IWT uses nearest port proxies.</t>
  </si>
  <si>
    <t>PowerBI_Label</t>
  </si>
  <si>
    <t>Ready-made display label for slicers/cards.</t>
  </si>
  <si>
    <t>Dim_Mode</t>
  </si>
  <si>
    <t>Mode_ID</t>
  </si>
  <si>
    <t>Unique mode code.</t>
  </si>
  <si>
    <t>Mode_Order</t>
  </si>
  <si>
    <t>Sort key for ROAD / RAIL / IWT.</t>
  </si>
  <si>
    <t>Mode_Name</t>
  </si>
  <si>
    <t>Display name of the transport mode.</t>
  </si>
  <si>
    <t>Mode_Group</t>
  </si>
  <si>
    <t>Higher-level mode grouping.</t>
  </si>
  <si>
    <t>Source notes from the original workbook.</t>
  </si>
  <si>
    <t>Payload_tonnes_baseline</t>
  </si>
  <si>
    <t>Baseline shipment size used in the source calculations.</t>
  </si>
  <si>
    <t>Speed_kmph_baseline</t>
  </si>
  <si>
    <t>Baseline line-haul speed used in the source calculations.</t>
  </si>
  <si>
    <t>Handling_hours_baseline</t>
  </si>
  <si>
    <t>Baseline handling / dwell time used in the source calculations.</t>
  </si>
  <si>
    <t>Cost_EUR_per_tkm_baseline</t>
  </si>
  <si>
    <t>Baseline transport cost intensity.</t>
  </si>
  <si>
    <t>Handling_EUR_per_tonne_baseline</t>
  </si>
  <si>
    <t>Baseline handling cost per tonne.</t>
  </si>
  <si>
    <t>Dim_NodeMapping</t>
  </si>
  <si>
    <t>CorridorMode_Key</t>
  </si>
  <si>
    <t>Composite key linking a corridor and mode.</t>
  </si>
  <si>
    <t>Corridor identifier.</t>
  </si>
  <si>
    <t>Mode identifier.</t>
  </si>
  <si>
    <t>Origin_Node</t>
  </si>
  <si>
    <t>Exact source node used for routing / EcoTransIT extraction.</t>
  </si>
  <si>
    <t>Destination_Node</t>
  </si>
  <si>
    <t>Exact destination node used for routing / EcoTransIT extraction.</t>
  </si>
  <si>
    <t>Node_Type</t>
  </si>
  <si>
    <t>Station / port / proxy description.</t>
  </si>
  <si>
    <t>Fact_CorridorMode</t>
  </si>
  <si>
    <t>Primary fact-table key.</t>
  </si>
  <si>
    <t>Foreign key to corridor dimension.</t>
  </si>
  <si>
    <t>Corridor sort key.</t>
  </si>
  <si>
    <t>Foreign key to mode dimension.</t>
  </si>
  <si>
    <t>Mode sort key.</t>
  </si>
  <si>
    <t>Distance_km</t>
  </si>
  <si>
    <t>Route distance in kilometers.</t>
  </si>
  <si>
    <t>GHG_WTW_tCO2e</t>
  </si>
  <si>
    <t>Well-to-wheel GHG for the modeled shipment (tCO2e).</t>
  </si>
  <si>
    <t>GHG_TTW_tCO2e</t>
  </si>
  <si>
    <t>Tank-to-wheel GHG for the modeled shipment (tCO2e).</t>
  </si>
  <si>
    <t>WTW_gCO2e_per_tkm</t>
  </si>
  <si>
    <t>WTW emissions intensity.</t>
  </si>
  <si>
    <t>TTW_gCO2e_per_tkm</t>
  </si>
  <si>
    <t>TTW emissions intensity.</t>
  </si>
  <si>
    <t>WTW_kgCO2e_per_1000_tkm</t>
  </si>
  <si>
    <t>Display helper equal to WTW_gCO2e_per_tkm.</t>
  </si>
  <si>
    <t>TTW_kgCO2e_per_1000_tkm</t>
  </si>
  <si>
    <t>Display helper equal to TTW_gCO2e_per_tkm.</t>
  </si>
  <si>
    <t>Cost_EUR_per_tkm</t>
  </si>
  <si>
    <t>Cost_EUR_per_1000_tkm</t>
  </si>
  <si>
    <t>Display helper for charts/cards.</t>
  </si>
  <si>
    <t>Handling_EUR_per_tonne</t>
  </si>
  <si>
    <t>Handling cost parameter.</t>
  </si>
  <si>
    <t>Speed_kmph</t>
  </si>
  <si>
    <t>Line-haul speed parameter.</t>
  </si>
  <si>
    <t>Handling_hours</t>
  </si>
  <si>
    <t>Handling time parameter.</t>
  </si>
  <si>
    <t>Default_Shipment_tonnes</t>
  </si>
  <si>
    <t>Baseline shipment size.</t>
  </si>
  <si>
    <t>TransportWork_tkm</t>
  </si>
  <si>
    <t>Distance × shipment tonnes.</t>
  </si>
  <si>
    <t>Total_WTW_kgCO2e_default</t>
  </si>
  <si>
    <t>Total WTW emissions for the baseline shipment.</t>
  </si>
  <si>
    <t>Total_TTW_kgCO2e_default</t>
  </si>
  <si>
    <t>Total TTW emissions for the baseline shipment.</t>
  </si>
  <si>
    <t>TransitTime_h_default</t>
  </si>
  <si>
    <t>Baseline transit time.</t>
  </si>
  <si>
    <t>TransportCost_EUR_default</t>
  </si>
  <si>
    <t>Baseline line-haul cost.</t>
  </si>
  <si>
    <t>HandlingCost_EUR_default</t>
  </si>
  <si>
    <t>Baseline handling cost.</t>
  </si>
  <si>
    <t>CarbonCost_EUR_base</t>
  </si>
  <si>
    <t>Carbon-price component in the source workbook.</t>
  </si>
  <si>
    <t>TotalCost_EUR_base</t>
  </si>
  <si>
    <t>Total baseline shipment cost.</t>
  </si>
  <si>
    <t>CarbonCost_Share_pct</t>
  </si>
  <si>
    <t>Carbon cost share of total baseline cost.</t>
  </si>
  <si>
    <t>Dim_Scenario</t>
  </si>
  <si>
    <t>Scenario_ID</t>
  </si>
  <si>
    <t>Scenario parameter used for what-if analysis.</t>
  </si>
  <si>
    <t>Scenario</t>
  </si>
  <si>
    <t>Category</t>
  </si>
  <si>
    <t>Season</t>
  </si>
  <si>
    <t>Road_Cost_EUR_per_tkm</t>
  </si>
  <si>
    <t>Rail_Cost_EUR_per_tkm</t>
  </si>
  <si>
    <t>IWT_Cost_EUR_per_tkm</t>
  </si>
  <si>
    <t>Road_Time_Factor</t>
  </si>
  <si>
    <t>Rail_Time_Factor</t>
  </si>
  <si>
    <t>IWT_Time_Factor</t>
  </si>
  <si>
    <t>Road_Emissions_kgCO2_per_tkm</t>
  </si>
  <si>
    <t>Rail_Emissions_kgCO2_per_tkm</t>
  </si>
  <si>
    <t>IWT_Emissions_kgCO2_per_tkm</t>
  </si>
  <si>
    <t>Carbon_Price_EUR_per_tonne</t>
  </si>
  <si>
    <t>LoadFactor</t>
  </si>
  <si>
    <t>Dim_City_Map</t>
  </si>
  <si>
    <t>City_Name</t>
  </si>
  <si>
    <t>Administrative geography attribute.</t>
  </si>
  <si>
    <t>State</t>
  </si>
  <si>
    <t>District</t>
  </si>
  <si>
    <t>Municipality</t>
  </si>
  <si>
    <t>Notes_Source</t>
  </si>
  <si>
    <t>Source_CorridorMode</t>
  </si>
  <si>
    <t>Source lineage / provenance field.</t>
  </si>
  <si>
    <t>Distance_Source</t>
  </si>
  <si>
    <t>Source_Ref</t>
  </si>
  <si>
    <t>Access_Date</t>
  </si>
  <si>
    <t>Method_Notes</t>
  </si>
  <si>
    <t>EcoTransIT_PDF</t>
  </si>
  <si>
    <t>Note_ID</t>
  </si>
  <si>
    <t>Method note to disclose in GitHub / README.</t>
  </si>
  <si>
    <t>Topic</t>
  </si>
  <si>
    <t>Note</t>
  </si>
  <si>
    <t>Item</t>
  </si>
  <si>
    <t>Value</t>
  </si>
  <si>
    <t>Unit</t>
  </si>
  <si>
    <t>Why it matters</t>
  </si>
  <si>
    <t>Mode baseline</t>
  </si>
  <si>
    <t>Road payload</t>
  </si>
  <si>
    <t>tonnes</t>
  </si>
  <si>
    <t>Used for default shipment cost and CO2 calculations</t>
  </si>
  <si>
    <t>Rail payload</t>
  </si>
  <si>
    <t>IWT payload</t>
  </si>
  <si>
    <t>Display rule</t>
  </si>
  <si>
    <t>Cost display</t>
  </si>
  <si>
    <t>tkm scale</t>
  </si>
  <si>
    <t>Main dashboard should show cost per 1,000 tkm, not only per tkm</t>
  </si>
  <si>
    <t>Conversion</t>
  </si>
  <si>
    <t>CO2 unit divisor</t>
  </si>
  <si>
    <t>g per kg</t>
  </si>
  <si>
    <t>Converts grams of CO2e to kilograms of CO2e</t>
  </si>
  <si>
    <t>Constraint design</t>
  </si>
  <si>
    <t>Max delivery time</t>
  </si>
  <si>
    <t>User-defined</t>
  </si>
  <si>
    <t>hours</t>
  </si>
  <si>
    <t>Feasibility rule in dashboard</t>
  </si>
  <si>
    <t>Max shipment budget</t>
  </si>
  <si>
    <t>EUR</t>
  </si>
  <si>
    <t>Max shipment CO2</t>
  </si>
  <si>
    <t>kg CO2e</t>
  </si>
  <si>
    <t>T1</t>
  </si>
  <si>
    <t>Hamburg → Hannover</t>
  </si>
  <si>
    <t>Hamburg</t>
  </si>
  <si>
    <t>Hannover</t>
  </si>
  <si>
    <t>Rhine-aligned trimodal chain (Hamburg–Basel direction)</t>
  </si>
  <si>
    <t>Segment used for consistent comparison across ROAD/RAIL/IWT (IWT uses nearest ports).</t>
  </si>
  <si>
    <t>T2</t>
  </si>
  <si>
    <t>Hannover → Duisburg</t>
  </si>
  <si>
    <t>Duisburg</t>
  </si>
  <si>
    <t>T3</t>
  </si>
  <si>
    <t>Duisburg → Köln</t>
  </si>
  <si>
    <t>Köln</t>
  </si>
  <si>
    <t>T4</t>
  </si>
  <si>
    <t>Köln → Frankfurt am Main</t>
  </si>
  <si>
    <t>Frankfurt am Main</t>
  </si>
  <si>
    <t>T5</t>
  </si>
  <si>
    <t>Frankfurt am Main → Mannheim</t>
  </si>
  <si>
    <t>Mannheim</t>
  </si>
  <si>
    <t>T6</t>
  </si>
  <si>
    <t>Mannheim → Weil am Rhein</t>
  </si>
  <si>
    <t>Weil am Rhein</t>
  </si>
  <si>
    <t>ROAD</t>
  </si>
  <si>
    <t>Road</t>
  </si>
  <si>
    <t>Road distance baseline; emissions will be applied via factors.</t>
  </si>
  <si>
    <t>RAIL</t>
  </si>
  <si>
    <t>Rail</t>
  </si>
  <si>
    <t>EcoTransIT EN 16258 outputs used for WTW/TTW.</t>
  </si>
  <si>
    <t>IWT</t>
  </si>
  <si>
    <t>EcoTransIT barge leg only (pure-mode).</t>
  </si>
  <si>
    <t>Hamburg (UN/LOCODE: DEHAM)</t>
  </si>
  <si>
    <t>Hannover Linden (UN/LOCODE: DEHAJ)</t>
  </si>
  <si>
    <t>UN/LOCODE port</t>
  </si>
  <si>
    <t>[Railway station] [de] HAMBURG HBF</t>
  </si>
  <si>
    <t>[Railway station] [de] HANNOVER HBF</t>
  </si>
  <si>
    <t>Station</t>
  </si>
  <si>
    <t>[Bahnhof] [de] HAMBURG HBF</t>
  </si>
  <si>
    <t>[Bahnhof] [de] HANNOVER HBF</t>
  </si>
  <si>
    <t>Railway station (proxy for city O/D used for truck distance in EcoTransIT)</t>
  </si>
  <si>
    <t>Duisburg Homberg (UN/LOCODE: DEDUI)</t>
  </si>
  <si>
    <t>[Bahnhof] [de] DUISBURG HBF</t>
  </si>
  <si>
    <t>Köln (UN/LOCODE: DECGN)</t>
  </si>
  <si>
    <t>[Bahnhof] [de] Köln Hbf</t>
  </si>
  <si>
    <t>Frankfurt (UN/LOCODE: DEFRA)</t>
  </si>
  <si>
    <t>[Bahnhof] [de] FRANKFURT(MAIN) HGBF</t>
  </si>
  <si>
    <t>[Bahnhof] Köln Hbf</t>
  </si>
  <si>
    <t>Mannheim Rheinhäfen 2 (UN/LOCODE: DEMHG)</t>
  </si>
  <si>
    <t>[Bahnhof] FRANKFURT(MAIN) HGBF</t>
  </si>
  <si>
    <t>[Bahnhof] [de] MANNHEIM HBF</t>
  </si>
  <si>
    <t>Basel Rheinhäfen (UN/LOCODE: CHBSL)</t>
  </si>
  <si>
    <t>[Bahnhof] MANNHEIM HBF</t>
  </si>
  <si>
    <t>[Bahnhof] [de] Weil Am Rhein</t>
  </si>
  <si>
    <t>S1</t>
  </si>
  <si>
    <t>Baseline / Current Conditions</t>
  </si>
  <si>
    <t>Baseline</t>
  </si>
  <si>
    <t>Any</t>
  </si>
  <si>
    <t>Base operating conditions used as the reference scenario.</t>
  </si>
  <si>
    <t>S2</t>
  </si>
  <si>
    <t>High Carbon Price</t>
  </si>
  <si>
    <t>Environment</t>
  </si>
  <si>
    <t>Higher carbon price penalizes high-emission modes in total cost calculations.</t>
  </si>
  <si>
    <t>S3</t>
  </si>
  <si>
    <t>Fuel Cost Shock</t>
  </si>
  <si>
    <t>Cost Stress</t>
  </si>
  <si>
    <t>Road cost increased by 30%; rail and IWT costs increased by 5% as secondary effects.</t>
  </si>
  <si>
    <t>S4</t>
  </si>
  <si>
    <t>Express Rail Improvement</t>
  </si>
  <si>
    <t>Service Upgrade</t>
  </si>
  <si>
    <t>Rail transit time improved by 20% with a moderate cost premium and slight emissions increase.</t>
  </si>
  <si>
    <t>Nordrhein-Westfalen</t>
  </si>
  <si>
    <t>Administrative mapping (Bundesland + Kreis/kreisfreie Stadt + municipality) for Power BI map hierarchy.</t>
  </si>
  <si>
    <t>Hessen</t>
  </si>
  <si>
    <t>Niedersachsen</t>
  </si>
  <si>
    <t>Region Hannover</t>
  </si>
  <si>
    <t>Baden-Württemberg</t>
  </si>
  <si>
    <t>Lörrach</t>
  </si>
  <si>
    <t>EcoTransIT World (Distances tab, Truck)</t>
  </si>
  <si>
    <t>EcoTransIT World (PDF export; reproducible via inputs)</t>
  </si>
  <si>
    <t>Pure-mode (truck only).</t>
  </si>
  <si>
    <t>ecotransit_world_Berechnungsergebnis_20251228 (1).pdf</t>
  </si>
  <si>
    <t>EcoTransIT World (Distances tab, Rail)</t>
  </si>
  <si>
    <t>Pure-mode (rail only).</t>
  </si>
  <si>
    <t>ecotransit_world_Calculation_Result_20251227 (1).pdf</t>
  </si>
  <si>
    <t>EcoTransIT World (Distances tab, Inland vessel — barge leg only)</t>
  </si>
  <si>
    <t>Pure-mode (barge leg only; excludes truck pre/post legs).</t>
  </si>
  <si>
    <t>ecotransit_world_Berechnungsergebnis_20251228.pdf</t>
  </si>
  <si>
    <t>ecotransit_world_Berechnungsergebnis_20251227 (5).pdf</t>
  </si>
  <si>
    <t>ecotransit_world_Berechnungsergebnis_20251227.pdf</t>
  </si>
  <si>
    <t>ecotransit_world_Berechnungsergebnis_20251228 (2).pdf</t>
  </si>
  <si>
    <t>ecotransit_world_Berechnungsergebnis_20251227 (1).pdf</t>
  </si>
  <si>
    <t>ecotransit_world_Berechnungsergebnis_20251228 (3).pdf</t>
  </si>
  <si>
    <t>ecotransit_world_Berechnungsergebnis_20251227 (2).pdf</t>
  </si>
  <si>
    <t>ecotransit_world_Berechnungsergebnis_20251228 (4).pdf</t>
  </si>
  <si>
    <t>ecotransit_world_Berechnungsergebnis_20251227 (3).pdf</t>
  </si>
  <si>
    <t>ecotransit_world_Berechnungsergebnis_20251228 (5).pdf</t>
  </si>
  <si>
    <t>ecotransit_world_Berechnungsergebnis_20251227 (4).pdf</t>
  </si>
  <si>
    <t>M1</t>
  </si>
  <si>
    <t>Scope</t>
  </si>
  <si>
    <t>Workbook reduced to only the tables needed for the current Power BI model: dimensions, consolidated fact table, scenarios, geography, node mapping, and source lineage.</t>
  </si>
  <si>
    <t>M2</t>
  </si>
  <si>
    <t>Consolidation</t>
  </si>
  <si>
    <t>Fact_CorridorMode already consolidates the distance, emissions, cost, and time inputs, so the separate raw sheets were removed from this cleaned workbook to avoid duplicate imports.</t>
  </si>
  <si>
    <t>M3</t>
  </si>
  <si>
    <t>IWT proxy ports</t>
  </si>
  <si>
    <t>IWT rows use nearest inland port nodes for corridor comparison; T6 uses Basel Rheinhäfen as the nearest navigable proxy for Weil am Rhein. Disclose this clearly in GitHub and CV materials.</t>
  </si>
  <si>
    <t>M4</t>
  </si>
  <si>
    <t>Rail TTW sensitivity</t>
  </si>
  <si>
    <t>For rail legs where EcoTransIT reports TTW=0 (electric traction), TTW_gCO2e_per_tkm is set to WTW/15 (~6.67%) as a documented 'small diesel share' sensitivity assumption to avoid zeros in TTW columns.</t>
  </si>
  <si>
    <t>M5</t>
  </si>
  <si>
    <t>Power BI loading</t>
  </si>
  <si>
    <t>Load Fact_CorridorMode, Dim_Corridor, Dim_Mode, Dim_NodeMapping, Dim_Scenario, Dim_City_Map, and Source_CorridorMode. Keep relationships single-direction from dimensions to fact.</t>
  </si>
  <si>
    <t>Original_Sheet</t>
  </si>
  <si>
    <t>Status</t>
  </si>
  <si>
    <t>Reason</t>
  </si>
  <si>
    <t>Fact_Distance</t>
  </si>
  <si>
    <t>Dropped from cleaned workbook</t>
  </si>
  <si>
    <t>Already consolidated into Fact_CorridorMode; keeping both would duplicate distance fields in Power BI.</t>
  </si>
  <si>
    <t>Fact_Emissions_EcoTransIT</t>
  </si>
  <si>
    <t>Already consolidated into Fact_CorridorMode; use Source_CorridorMode for provenance.</t>
  </si>
  <si>
    <t>Parameters_Cost</t>
  </si>
  <si>
    <t>Baseline cost inputs merged into Dim_Mode and Fact_CorridorMode.</t>
  </si>
  <si>
    <t>Parameters_Time</t>
  </si>
  <si>
    <t>Baseline speed/handling/payload inputs merged into Dim_Mode and Fact_CorridorMode.</t>
  </si>
  <si>
    <t>RoadActivity_Monthly_Index</t>
  </si>
  <si>
    <t>Useful only for a future temporal/seasonality extension; not needed for current corridor dashboard.</t>
  </si>
  <si>
    <t>References_APA7</t>
  </si>
  <si>
    <t>Literature list is useful for thesis writing, but not required for the Power BI data model.</t>
  </si>
  <si>
    <t>00_README</t>
  </si>
  <si>
    <t>Replaced</t>
  </si>
  <si>
    <t>Updated import guide created for the cleaned workbook.</t>
  </si>
  <si>
    <t>Source_References</t>
  </si>
  <si>
    <t>Condensed to Source_CorridorMode plus Method_Notes for a cleaner lineage table.</t>
  </si>
  <si>
    <t xml:space="preserve">Road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</si>
</sst>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.00"/>
    <numFmt numFmtId="165" formatCode="0.0%"/>
    <numFmt numFmtId="166" formatCode="yyyy\-mm\-dd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1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11">
    <dxf>
      <numFmt numFmtId="1" formatCode="0"/>
    </dxf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7" formatCode="0.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Dictionary" displayName="tblDataDictionary" ref="A1:D85">
  <autoFilter ref="A1:D85" xr:uid="{00000000-0009-0000-0100-000001000000}"/>
  <tableColumns count="4">
    <tableColumn id="1" xr3:uid="{00000000-0010-0000-0000-000001000000}" name="Sheet"/>
    <tableColumn id="2" xr3:uid="{00000000-0010-0000-0000-000002000000}" name="Column"/>
    <tableColumn id="3" xr3:uid="{00000000-0010-0000-0000-000003000000}" name="Description"/>
    <tableColumn id="4" xr3:uid="{00000000-0010-0000-0000-000004000000}" name="Keep_for_PowerB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Corridor" displayName="tblDimCorridor" ref="A1:I7">
  <autoFilter ref="A1:I7" xr:uid="{00000000-0009-0000-0100-000002000000}"/>
  <tableColumns count="9">
    <tableColumn id="1" xr3:uid="{00000000-0010-0000-0100-000001000000}" name="Corridor_ID"/>
    <tableColumn id="2" xr3:uid="{00000000-0010-0000-0100-000002000000}" name="Corridor_Order"/>
    <tableColumn id="3" xr3:uid="{00000000-0010-0000-0100-000003000000}" name="Corridor_Name"/>
    <tableColumn id="4" xr3:uid="{00000000-0010-0000-0100-000004000000}" name="Origin_City"/>
    <tableColumn id="5" xr3:uid="{00000000-0010-0000-0100-000005000000}" name="Destination_City"/>
    <tableColumn id="6" xr3:uid="{00000000-0010-0000-0100-000006000000}" name="Corridor_Group"/>
    <tableColumn id="7" xr3:uid="{00000000-0010-0000-0100-000007000000}" name="Notes"/>
    <tableColumn id="8" xr3:uid="{00000000-0010-0000-0100-000008000000}" name="Has_IWT_Proxy_Port"/>
    <tableColumn id="9" xr3:uid="{00000000-0010-0000-0100-000009000000}" name="PowerBI_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Mode" displayName="tblDimMode" ref="A1:J4">
  <autoFilter ref="A1:J4" xr:uid="{00000000-0009-0000-0100-000003000000}"/>
  <tableColumns count="10">
    <tableColumn id="1" xr3:uid="{00000000-0010-0000-0200-000001000000}" name="Mode_ID"/>
    <tableColumn id="2" xr3:uid="{00000000-0010-0000-0200-000002000000}" name="Mode_Order"/>
    <tableColumn id="3" xr3:uid="{00000000-0010-0000-0200-000003000000}" name="Mode_Name"/>
    <tableColumn id="4" xr3:uid="{00000000-0010-0000-0200-000004000000}" name="Mode_Group"/>
    <tableColumn id="5" xr3:uid="{00000000-0010-0000-0200-000005000000}" name="Notes"/>
    <tableColumn id="6" xr3:uid="{00000000-0010-0000-0200-000006000000}" name="Payload_tonnes_baseline"/>
    <tableColumn id="7" xr3:uid="{00000000-0010-0000-0200-000007000000}" name="Speed_kmph_baseline"/>
    <tableColumn id="8" xr3:uid="{00000000-0010-0000-0200-000008000000}" name="Handling_hours_baseline"/>
    <tableColumn id="9" xr3:uid="{00000000-0010-0000-0200-000009000000}" name="Cost_EUR_per_tkm_baseline"/>
    <tableColumn id="10" xr3:uid="{00000000-0010-0000-0200-00000A000000}" name="Handling_EUR_per_tonne_basel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NodeMapping" displayName="tblDimNodeMapping" ref="A1:F19">
  <autoFilter ref="A1:F19" xr:uid="{00000000-0009-0000-0100-000004000000}"/>
  <tableColumns count="6">
    <tableColumn id="1" xr3:uid="{00000000-0010-0000-0300-000001000000}" name="CorridorMode_Key"/>
    <tableColumn id="2" xr3:uid="{00000000-0010-0000-0300-000002000000}" name="Corridor_ID"/>
    <tableColumn id="3" xr3:uid="{00000000-0010-0000-0300-000003000000}" name="Mode_ID"/>
    <tableColumn id="4" xr3:uid="{00000000-0010-0000-0300-000004000000}" name="Origin_Node"/>
    <tableColumn id="5" xr3:uid="{00000000-0010-0000-0300-000005000000}" name="Destination_Node"/>
    <tableColumn id="6" xr3:uid="{00000000-0010-0000-0300-000006000000}" name="Nod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actCorridorMode" displayName="tblFactCorridorMode" ref="A1:AA19">
  <autoFilter ref="A1:AA19" xr:uid="{00000000-0009-0000-0100-000005000000}"/>
  <tableColumns count="27">
    <tableColumn id="1" xr3:uid="{00000000-0010-0000-0400-000001000000}" name="CorridorMode_Key"/>
    <tableColumn id="2" xr3:uid="{00000000-0010-0000-0400-000002000000}" name="Corridor_ID"/>
    <tableColumn id="3" xr3:uid="{00000000-0010-0000-0400-000003000000}" name="Corridor_Order"/>
    <tableColumn id="4" xr3:uid="{00000000-0010-0000-0400-000004000000}" name="Mode_ID"/>
    <tableColumn id="5" xr3:uid="{00000000-0010-0000-0400-000005000000}" name="Mode_Order"/>
    <tableColumn id="6" xr3:uid="{00000000-0010-0000-0400-000006000000}" name="Distance_km" dataDxfId="10"/>
    <tableColumn id="7" xr3:uid="{00000000-0010-0000-0400-000007000000}" name="GHG_WTW_tCO2e" dataDxfId="9"/>
    <tableColumn id="8" xr3:uid="{00000000-0010-0000-0400-000008000000}" name="GHG_TTW_tCO2e" dataDxfId="8"/>
    <tableColumn id="9" xr3:uid="{00000000-0010-0000-0400-000009000000}" name="WTW_gCO2e_per_tkm" dataDxfId="7"/>
    <tableColumn id="10" xr3:uid="{00000000-0010-0000-0400-00000A000000}" name="TTW_gCO2e_per_tkm" dataDxfId="6"/>
    <tableColumn id="11" xr3:uid="{00000000-0010-0000-0400-00000B000000}" name="WTW_kgCO2e_per_1000_tkm" dataDxfId="5"/>
    <tableColumn id="12" xr3:uid="{00000000-0010-0000-0400-00000C000000}" name="TTW_kgCO2e_per_1000_tkm" dataDxfId="4"/>
    <tableColumn id="13" xr3:uid="{00000000-0010-0000-0400-00000D000000}" name="Cost_EUR_per_tkm" dataDxfId="3"/>
    <tableColumn id="14" xr3:uid="{00000000-0010-0000-0400-00000E000000}" name="Cost_EUR_per_1000_tkm"/>
    <tableColumn id="15" xr3:uid="{00000000-0010-0000-0400-00000F000000}" name="Handling_EUR_per_tonne" dataDxfId="2"/>
    <tableColumn id="16" xr3:uid="{00000000-0010-0000-0400-000010000000}" name="Speed_kmph" dataDxfId="1"/>
    <tableColumn id="17" xr3:uid="{00000000-0010-0000-0400-000011000000}" name="Handling_hours"/>
    <tableColumn id="18" xr3:uid="{00000000-0010-0000-0400-000012000000}" name="Default_Shipment_tonnes" dataDxfId="0"/>
    <tableColumn id="19" xr3:uid="{00000000-0010-0000-0400-000013000000}" name="TransportWork_tkm"/>
    <tableColumn id="20" xr3:uid="{00000000-0010-0000-0400-000014000000}" name="Total_WTW_kgCO2e_default"/>
    <tableColumn id="21" xr3:uid="{00000000-0010-0000-0400-000015000000}" name="Total_TTW_kgCO2e_default"/>
    <tableColumn id="22" xr3:uid="{00000000-0010-0000-0400-000016000000}" name="TransitTime_h_default"/>
    <tableColumn id="23" xr3:uid="{00000000-0010-0000-0400-000017000000}" name="TransportCost_EUR_default"/>
    <tableColumn id="24" xr3:uid="{00000000-0010-0000-0400-000018000000}" name="HandlingCost_EUR_default"/>
    <tableColumn id="25" xr3:uid="{00000000-0010-0000-0400-000019000000}" name="CarbonCost_EUR_base"/>
    <tableColumn id="26" xr3:uid="{00000000-0010-0000-0400-00001A000000}" name="TotalCost_EUR_base"/>
    <tableColumn id="27" xr3:uid="{00000000-0010-0000-0400-00001B000000}" name="CarbonCost_Shar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imScenario" displayName="tblDimScenario" ref="A1:P5">
  <autoFilter ref="A1:P5" xr:uid="{00000000-0009-0000-0100-000006000000}"/>
  <tableColumns count="16">
    <tableColumn id="1" xr3:uid="{00000000-0010-0000-0500-000001000000}" name="Scenario_ID"/>
    <tableColumn id="2" xr3:uid="{00000000-0010-0000-0500-000002000000}" name="Scenario"/>
    <tableColumn id="3" xr3:uid="{00000000-0010-0000-0500-000003000000}" name="Category"/>
    <tableColumn id="4" xr3:uid="{00000000-0010-0000-0500-000004000000}" name="Season"/>
    <tableColumn id="5" xr3:uid="{00000000-0010-0000-0500-000005000000}" name="Road_Cost_EUR_per_tkm"/>
    <tableColumn id="6" xr3:uid="{00000000-0010-0000-0500-000006000000}" name="Rail_Cost_EUR_per_tkm"/>
    <tableColumn id="7" xr3:uid="{00000000-0010-0000-0500-000007000000}" name="IWT_Cost_EUR_per_tkm"/>
    <tableColumn id="8" xr3:uid="{00000000-0010-0000-0500-000008000000}" name="Road_Time_Factor"/>
    <tableColumn id="9" xr3:uid="{00000000-0010-0000-0500-000009000000}" name="Rail_Time_Factor"/>
    <tableColumn id="10" xr3:uid="{00000000-0010-0000-0500-00000A000000}" name="IWT_Time_Factor"/>
    <tableColumn id="11" xr3:uid="{00000000-0010-0000-0500-00000B000000}" name="Road_Emissions_kgCO2_per_tkm"/>
    <tableColumn id="12" xr3:uid="{00000000-0010-0000-0500-00000C000000}" name="Rail_Emissions_kgCO2_per_tkm"/>
    <tableColumn id="13" xr3:uid="{00000000-0010-0000-0500-00000D000000}" name="IWT_Emissions_kgCO2_per_tkm"/>
    <tableColumn id="14" xr3:uid="{00000000-0010-0000-0500-00000E000000}" name="Carbon_Price_EUR_per_tonne"/>
    <tableColumn id="15" xr3:uid="{00000000-0010-0000-0500-00000F000000}" name="LoadFactor"/>
    <tableColumn id="16" xr3:uid="{00000000-0010-0000-0500-000010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imCityMap" displayName="tblDimCityMap" ref="A1:E8">
  <autoFilter ref="A1:E8" xr:uid="{00000000-0009-0000-0100-000007000000}"/>
  <tableColumns count="5">
    <tableColumn id="1" xr3:uid="{00000000-0010-0000-0600-000001000000}" name="City_Name"/>
    <tableColumn id="2" xr3:uid="{00000000-0010-0000-0600-000002000000}" name="State"/>
    <tableColumn id="3" xr3:uid="{00000000-0010-0000-0600-000003000000}" name="District"/>
    <tableColumn id="4" xr3:uid="{00000000-0010-0000-0600-000004000000}" name="Municipality"/>
    <tableColumn id="5" xr3:uid="{00000000-0010-0000-0600-000005000000}" name="Notes_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ourceCorridorMode" displayName="tblSourceCorridorMode" ref="A1:H19">
  <autoFilter ref="A1:H19" xr:uid="{00000000-0009-0000-0100-000008000000}"/>
  <tableColumns count="8">
    <tableColumn id="1" xr3:uid="{00000000-0010-0000-0700-000001000000}" name="CorridorMode_Key"/>
    <tableColumn id="2" xr3:uid="{00000000-0010-0000-0700-000002000000}" name="Corridor_ID"/>
    <tableColumn id="3" xr3:uid="{00000000-0010-0000-0700-000003000000}" name="Mode_ID"/>
    <tableColumn id="4" xr3:uid="{00000000-0010-0000-0700-000004000000}" name="Distance_Source"/>
    <tableColumn id="5" xr3:uid="{00000000-0010-0000-0700-000005000000}" name="Source_Ref"/>
    <tableColumn id="6" xr3:uid="{00000000-0010-0000-0700-000006000000}" name="Access_Date"/>
    <tableColumn id="7" xr3:uid="{00000000-0010-0000-0700-000007000000}" name="Method_Notes"/>
    <tableColumn id="8" xr3:uid="{00000000-0010-0000-0700-000008000000}" name="EcoTransIT_PDF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hodNotes" displayName="tblMethodNotes" ref="A1:C6">
  <autoFilter ref="A1:C6" xr:uid="{00000000-0009-0000-0100-000009000000}"/>
  <tableColumns count="3">
    <tableColumn id="1" xr3:uid="{00000000-0010-0000-0800-000001000000}" name="Note_ID"/>
    <tableColumn id="2" xr3:uid="{00000000-0010-0000-0800-000002000000}" name="Topic"/>
    <tableColumn id="3" xr3:uid="{00000000-0010-0000-0800-000003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roppedSheets" displayName="tblDroppedSheets" ref="A1:C9">
  <autoFilter ref="A1:C9" xr:uid="{00000000-0009-0000-0100-00000A000000}"/>
  <tableColumns count="3">
    <tableColumn id="1" xr3:uid="{00000000-0010-0000-0900-000001000000}" name="Original_Sheet"/>
    <tableColumn id="2" xr3:uid="{00000000-0010-0000-0900-000002000000}" name="Status"/>
    <tableColumn id="3" xr3:uid="{00000000-0010-0000-0900-000003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14"/>
  <sheetViews>
    <sheetView showGridLines="0" workbookViewId="0">
      <selection activeCell="F18" sqref="F18"/>
    </sheetView>
  </sheetViews>
  <sheetFormatPr defaultRowHeight="14.25" x14ac:dyDescent="0.45"/>
  <cols>
    <col min="1" max="1" width="28" customWidth="1"/>
    <col min="2" max="2" width="95" customWidth="1"/>
  </cols>
  <sheetData>
    <row r="1" spans="1:2" ht="18" x14ac:dyDescent="0.55000000000000004">
      <c r="A1" s="14" t="s">
        <v>0</v>
      </c>
      <c r="B1" s="13"/>
    </row>
    <row r="2" spans="1:2" x14ac:dyDescent="0.45">
      <c r="A2" s="12" t="s">
        <v>1</v>
      </c>
      <c r="B2" s="13"/>
    </row>
    <row r="3" spans="1:2" x14ac:dyDescent="0.45">
      <c r="A3" s="1" t="s">
        <v>2</v>
      </c>
      <c r="B3" s="2" t="s">
        <v>3</v>
      </c>
    </row>
    <row r="4" spans="1:2" x14ac:dyDescent="0.45">
      <c r="A4" s="1" t="s">
        <v>4</v>
      </c>
      <c r="B4" s="2" t="s">
        <v>5</v>
      </c>
    </row>
    <row r="5" spans="1:2" x14ac:dyDescent="0.45">
      <c r="A5" s="1" t="s">
        <v>6</v>
      </c>
      <c r="B5" s="2" t="s">
        <v>7</v>
      </c>
    </row>
    <row r="6" spans="1:2" x14ac:dyDescent="0.45">
      <c r="A6" s="1" t="s">
        <v>8</v>
      </c>
      <c r="B6" s="2" t="s">
        <v>9</v>
      </c>
    </row>
    <row r="7" spans="1:2" x14ac:dyDescent="0.45">
      <c r="A7" s="1" t="s">
        <v>10</v>
      </c>
      <c r="B7" s="2" t="s">
        <v>11</v>
      </c>
    </row>
    <row r="8" spans="1:2" x14ac:dyDescent="0.45">
      <c r="A8" s="1" t="s">
        <v>12</v>
      </c>
      <c r="B8" s="2" t="s">
        <v>13</v>
      </c>
    </row>
    <row r="9" spans="1:2" x14ac:dyDescent="0.45">
      <c r="A9" s="1" t="s">
        <v>14</v>
      </c>
      <c r="B9" s="2" t="s">
        <v>15</v>
      </c>
    </row>
    <row r="10" spans="1:2" x14ac:dyDescent="0.45">
      <c r="A10" s="1" t="s">
        <v>16</v>
      </c>
      <c r="B10" s="2" t="s">
        <v>17</v>
      </c>
    </row>
    <row r="11" spans="1:2" x14ac:dyDescent="0.45">
      <c r="A11" s="1" t="s">
        <v>18</v>
      </c>
      <c r="B11" s="2" t="s">
        <v>19</v>
      </c>
    </row>
    <row r="12" spans="1:2" ht="28.5" x14ac:dyDescent="0.45">
      <c r="A12" s="1" t="s">
        <v>20</v>
      </c>
      <c r="B12" s="2" t="s">
        <v>21</v>
      </c>
    </row>
    <row r="13" spans="1:2" ht="28.5" x14ac:dyDescent="0.45">
      <c r="A13" s="1" t="s">
        <v>22</v>
      </c>
      <c r="B13" s="2" t="s">
        <v>23</v>
      </c>
    </row>
    <row r="14" spans="1:2" ht="28.5" x14ac:dyDescent="0.45">
      <c r="A14" s="1" t="s">
        <v>24</v>
      </c>
      <c r="B14" s="2" t="s">
        <v>25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2" sqref="C12"/>
    </sheetView>
  </sheetViews>
  <sheetFormatPr defaultRowHeight="14.25" x14ac:dyDescent="0.45"/>
  <cols>
    <col min="1" max="1" width="26.33203125" bestFit="1" customWidth="1"/>
    <col min="2" max="2" width="15.9296875" bestFit="1" customWidth="1"/>
    <col min="3" max="3" width="91.3984375" bestFit="1" customWidth="1"/>
  </cols>
  <sheetData>
    <row r="1" spans="1:3" x14ac:dyDescent="0.45">
      <c r="A1" s="8" t="s">
        <v>26</v>
      </c>
      <c r="B1" s="8" t="s">
        <v>27</v>
      </c>
      <c r="C1" s="8" t="s">
        <v>28</v>
      </c>
    </row>
    <row r="2" spans="1:3" x14ac:dyDescent="0.45">
      <c r="A2" t="s">
        <v>29</v>
      </c>
      <c r="B2" t="s">
        <v>30</v>
      </c>
      <c r="C2" t="s">
        <v>31</v>
      </c>
    </row>
    <row r="3" spans="1:3" x14ac:dyDescent="0.45">
      <c r="A3" t="s">
        <v>32</v>
      </c>
      <c r="B3" t="s">
        <v>30</v>
      </c>
      <c r="C3" t="s">
        <v>33</v>
      </c>
    </row>
    <row r="4" spans="1:3" x14ac:dyDescent="0.45">
      <c r="A4" t="s">
        <v>34</v>
      </c>
      <c r="B4" t="s">
        <v>35</v>
      </c>
      <c r="C4" t="s">
        <v>36</v>
      </c>
    </row>
    <row r="5" spans="1:3" x14ac:dyDescent="0.45">
      <c r="A5" t="s">
        <v>37</v>
      </c>
      <c r="B5" t="s">
        <v>38</v>
      </c>
      <c r="C5" t="s">
        <v>39</v>
      </c>
    </row>
    <row r="6" spans="1:3" x14ac:dyDescent="0.45">
      <c r="A6" t="s">
        <v>40</v>
      </c>
      <c r="B6" t="s">
        <v>41</v>
      </c>
      <c r="C6" t="s">
        <v>42</v>
      </c>
    </row>
    <row r="7" spans="1:3" x14ac:dyDescent="0.45">
      <c r="A7" t="s">
        <v>43</v>
      </c>
      <c r="B7" t="s">
        <v>44</v>
      </c>
      <c r="C7" t="s">
        <v>45</v>
      </c>
    </row>
    <row r="8" spans="1:3" x14ac:dyDescent="0.45">
      <c r="A8" t="s">
        <v>46</v>
      </c>
      <c r="B8" t="s">
        <v>47</v>
      </c>
      <c r="C8" t="s">
        <v>48</v>
      </c>
    </row>
    <row r="9" spans="1:3" x14ac:dyDescent="0.45">
      <c r="A9" t="s">
        <v>49</v>
      </c>
      <c r="B9" t="s">
        <v>50</v>
      </c>
      <c r="C9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A8" sqref="A1:D25"/>
    </sheetView>
  </sheetViews>
  <sheetFormatPr defaultRowHeight="14.25" x14ac:dyDescent="0.45"/>
  <cols>
    <col min="1" max="1" width="32.33203125" bestFit="1" customWidth="1"/>
    <col min="2" max="2" width="73.33203125" bestFit="1" customWidth="1"/>
    <col min="3" max="3" width="70.796875" bestFit="1" customWidth="1"/>
    <col min="4" max="4" width="34.73046875" bestFit="1" customWidth="1"/>
  </cols>
  <sheetData>
    <row r="1" spans="1:4" x14ac:dyDescent="0.45">
      <c r="A1" s="8" t="s">
        <v>52</v>
      </c>
      <c r="B1" s="8" t="s">
        <v>53</v>
      </c>
      <c r="C1" s="8" t="s">
        <v>54</v>
      </c>
      <c r="D1" s="8" t="s">
        <v>55</v>
      </c>
    </row>
    <row r="2" spans="1:4" x14ac:dyDescent="0.45">
      <c r="A2" t="s">
        <v>56</v>
      </c>
      <c r="B2" t="s">
        <v>57</v>
      </c>
      <c r="C2" t="s">
        <v>58</v>
      </c>
      <c r="D2" t="s">
        <v>59</v>
      </c>
    </row>
    <row r="3" spans="1:4" x14ac:dyDescent="0.45">
      <c r="A3" t="s">
        <v>60</v>
      </c>
      <c r="B3" t="s">
        <v>61</v>
      </c>
      <c r="C3" t="s">
        <v>62</v>
      </c>
      <c r="D3" t="s">
        <v>63</v>
      </c>
    </row>
    <row r="4" spans="1:4" x14ac:dyDescent="0.45">
      <c r="A4" t="s">
        <v>64</v>
      </c>
      <c r="B4" t="s">
        <v>65</v>
      </c>
      <c r="C4" t="s">
        <v>66</v>
      </c>
      <c r="D4" t="s">
        <v>67</v>
      </c>
    </row>
    <row r="5" spans="1:4" x14ac:dyDescent="0.45">
      <c r="A5" t="s">
        <v>68</v>
      </c>
      <c r="B5" t="s">
        <v>69</v>
      </c>
      <c r="C5" t="s">
        <v>70</v>
      </c>
      <c r="D5" t="s">
        <v>71</v>
      </c>
    </row>
    <row r="6" spans="1:4" x14ac:dyDescent="0.45">
      <c r="A6" t="s">
        <v>72</v>
      </c>
      <c r="B6" t="s">
        <v>73</v>
      </c>
      <c r="C6" t="s">
        <v>74</v>
      </c>
      <c r="D6" t="s">
        <v>75</v>
      </c>
    </row>
    <row r="7" spans="1:4" x14ac:dyDescent="0.45">
      <c r="A7" t="s">
        <v>76</v>
      </c>
      <c r="B7" t="s">
        <v>77</v>
      </c>
      <c r="C7" t="s">
        <v>78</v>
      </c>
      <c r="D7" t="s">
        <v>79</v>
      </c>
    </row>
    <row r="8" spans="1:4" x14ac:dyDescent="0.45">
      <c r="A8" t="s">
        <v>80</v>
      </c>
      <c r="B8" t="s">
        <v>81</v>
      </c>
      <c r="C8" t="s">
        <v>82</v>
      </c>
      <c r="D8" t="s">
        <v>83</v>
      </c>
    </row>
    <row r="9" spans="1:4" x14ac:dyDescent="0.45">
      <c r="A9" t="s">
        <v>84</v>
      </c>
      <c r="B9" t="s">
        <v>85</v>
      </c>
      <c r="C9" t="s">
        <v>86</v>
      </c>
      <c r="D9" t="s">
        <v>87</v>
      </c>
    </row>
    <row r="10" spans="1:4" x14ac:dyDescent="0.45">
      <c r="A10" t="s">
        <v>88</v>
      </c>
      <c r="B10" t="s">
        <v>89</v>
      </c>
      <c r="C10" t="s">
        <v>90</v>
      </c>
      <c r="D10" t="s">
        <v>91</v>
      </c>
    </row>
    <row r="11" spans="1:4" x14ac:dyDescent="0.45">
      <c r="A11" t="s">
        <v>92</v>
      </c>
      <c r="B11" t="s">
        <v>93</v>
      </c>
      <c r="C11" t="s">
        <v>94</v>
      </c>
      <c r="D11" t="s">
        <v>95</v>
      </c>
    </row>
    <row r="12" spans="1:4" x14ac:dyDescent="0.45">
      <c r="A12" t="s">
        <v>96</v>
      </c>
      <c r="B12" t="s">
        <v>97</v>
      </c>
      <c r="C12" t="s">
        <v>98</v>
      </c>
      <c r="D12" t="s">
        <v>99</v>
      </c>
    </row>
    <row r="13" spans="1:4" x14ac:dyDescent="0.45">
      <c r="A13" t="s">
        <v>100</v>
      </c>
      <c r="B13" t="s">
        <v>101</v>
      </c>
      <c r="C13" t="s">
        <v>102</v>
      </c>
      <c r="D13" t="s">
        <v>103</v>
      </c>
    </row>
    <row r="14" spans="1:4" x14ac:dyDescent="0.45">
      <c r="A14" t="s">
        <v>104</v>
      </c>
      <c r="B14" t="s">
        <v>105</v>
      </c>
      <c r="C14" t="s">
        <v>106</v>
      </c>
      <c r="D14" t="s">
        <v>107</v>
      </c>
    </row>
    <row r="15" spans="1:4" x14ac:dyDescent="0.45">
      <c r="A15" t="s">
        <v>108</v>
      </c>
      <c r="B15" t="s">
        <v>109</v>
      </c>
      <c r="C15" t="s">
        <v>110</v>
      </c>
      <c r="D15" t="s">
        <v>111</v>
      </c>
    </row>
    <row r="16" spans="1:4" x14ac:dyDescent="0.45">
      <c r="A16" t="s">
        <v>112</v>
      </c>
      <c r="B16" t="s">
        <v>113</v>
      </c>
      <c r="C16" t="s">
        <v>114</v>
      </c>
      <c r="D16" t="s">
        <v>111</v>
      </c>
    </row>
    <row r="17" spans="1:4" x14ac:dyDescent="0.45">
      <c r="A17" t="s">
        <v>115</v>
      </c>
      <c r="B17" t="s">
        <v>116</v>
      </c>
      <c r="C17" t="s">
        <v>117</v>
      </c>
      <c r="D17" t="s">
        <v>118</v>
      </c>
    </row>
    <row r="18" spans="1:4" x14ac:dyDescent="0.45">
      <c r="A18" t="s">
        <v>119</v>
      </c>
      <c r="B18" t="s">
        <v>120</v>
      </c>
      <c r="C18" t="s">
        <v>121</v>
      </c>
      <c r="D18" t="s">
        <v>122</v>
      </c>
    </row>
    <row r="19" spans="1:4" x14ac:dyDescent="0.45">
      <c r="A19" t="s">
        <v>123</v>
      </c>
      <c r="B19" t="s">
        <v>124</v>
      </c>
      <c r="C19" t="s">
        <v>125</v>
      </c>
      <c r="D19" t="s">
        <v>126</v>
      </c>
    </row>
    <row r="20" spans="1:4" x14ac:dyDescent="0.45">
      <c r="A20" t="s">
        <v>127</v>
      </c>
      <c r="B20" t="s">
        <v>128</v>
      </c>
      <c r="C20" t="s">
        <v>129</v>
      </c>
      <c r="D20" t="s">
        <v>130</v>
      </c>
    </row>
    <row r="21" spans="1:4" x14ac:dyDescent="0.45">
      <c r="A21" t="s">
        <v>131</v>
      </c>
      <c r="B21" t="s">
        <v>132</v>
      </c>
      <c r="C21" t="s">
        <v>129</v>
      </c>
      <c r="D21" t="s">
        <v>130</v>
      </c>
    </row>
    <row r="22" spans="1:4" x14ac:dyDescent="0.45">
      <c r="A22" t="s">
        <v>133</v>
      </c>
      <c r="B22" t="s">
        <v>134</v>
      </c>
      <c r="C22" t="s">
        <v>129</v>
      </c>
      <c r="D22" t="s">
        <v>130</v>
      </c>
    </row>
    <row r="23" spans="1:4" x14ac:dyDescent="0.45">
      <c r="A23" t="s">
        <v>135</v>
      </c>
      <c r="B23" t="s">
        <v>136</v>
      </c>
      <c r="C23" t="s">
        <v>137</v>
      </c>
      <c r="D23" t="s">
        <v>138</v>
      </c>
    </row>
    <row r="24" spans="1:4" x14ac:dyDescent="0.45">
      <c r="A24" t="s">
        <v>139</v>
      </c>
      <c r="B24" t="s">
        <v>140</v>
      </c>
      <c r="C24" t="s">
        <v>141</v>
      </c>
      <c r="D24" t="s">
        <v>142</v>
      </c>
    </row>
    <row r="25" spans="1:4" x14ac:dyDescent="0.45">
      <c r="A25" t="s">
        <v>143</v>
      </c>
      <c r="B25" t="s">
        <v>144</v>
      </c>
      <c r="C25" t="s">
        <v>145</v>
      </c>
      <c r="D25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85"/>
  <sheetViews>
    <sheetView showGridLines="0" workbookViewId="0">
      <selection activeCell="C13" sqref="C13"/>
    </sheetView>
  </sheetViews>
  <sheetFormatPr defaultRowHeight="14.25" x14ac:dyDescent="0.45"/>
  <cols>
    <col min="1" max="1" width="21" customWidth="1"/>
    <col min="2" max="2" width="33" customWidth="1"/>
    <col min="3" max="3" width="40" customWidth="1"/>
    <col min="4" max="4" width="18" customWidth="1"/>
  </cols>
  <sheetData>
    <row r="1" spans="1:4" ht="24" customHeight="1" x14ac:dyDescent="0.45">
      <c r="A1" s="3" t="s">
        <v>147</v>
      </c>
      <c r="B1" s="3" t="s">
        <v>148</v>
      </c>
      <c r="C1" s="3" t="s">
        <v>149</v>
      </c>
      <c r="D1" s="3" t="s">
        <v>150</v>
      </c>
    </row>
    <row r="2" spans="1:4" ht="24" customHeight="1" x14ac:dyDescent="0.45">
      <c r="A2" s="2" t="s">
        <v>151</v>
      </c>
      <c r="B2" s="2" t="s">
        <v>152</v>
      </c>
      <c r="C2" s="2" t="s">
        <v>153</v>
      </c>
      <c r="D2" s="2" t="s">
        <v>154</v>
      </c>
    </row>
    <row r="3" spans="1:4" ht="24" customHeight="1" x14ac:dyDescent="0.45">
      <c r="A3" s="2" t="s">
        <v>151</v>
      </c>
      <c r="B3" s="2" t="s">
        <v>155</v>
      </c>
      <c r="C3" s="2" t="s">
        <v>156</v>
      </c>
      <c r="D3" s="2" t="s">
        <v>154</v>
      </c>
    </row>
    <row r="4" spans="1:4" ht="24" customHeight="1" x14ac:dyDescent="0.45">
      <c r="A4" s="2" t="s">
        <v>151</v>
      </c>
      <c r="B4" s="2" t="s">
        <v>157</v>
      </c>
      <c r="C4" s="2" t="s">
        <v>158</v>
      </c>
      <c r="D4" s="2" t="s">
        <v>154</v>
      </c>
    </row>
    <row r="5" spans="1:4" ht="24" customHeight="1" x14ac:dyDescent="0.45">
      <c r="A5" s="2" t="s">
        <v>151</v>
      </c>
      <c r="B5" s="2" t="s">
        <v>159</v>
      </c>
      <c r="C5" s="2" t="s">
        <v>160</v>
      </c>
      <c r="D5" s="2" t="s">
        <v>154</v>
      </c>
    </row>
    <row r="6" spans="1:4" ht="24" customHeight="1" x14ac:dyDescent="0.45">
      <c r="A6" s="2" t="s">
        <v>151</v>
      </c>
      <c r="B6" s="2" t="s">
        <v>161</v>
      </c>
      <c r="C6" s="2" t="s">
        <v>162</v>
      </c>
      <c r="D6" s="2" t="s">
        <v>154</v>
      </c>
    </row>
    <row r="7" spans="1:4" ht="24" customHeight="1" x14ac:dyDescent="0.45">
      <c r="A7" s="2" t="s">
        <v>151</v>
      </c>
      <c r="B7" s="2" t="s">
        <v>163</v>
      </c>
      <c r="C7" s="2" t="s">
        <v>164</v>
      </c>
      <c r="D7" s="2" t="s">
        <v>154</v>
      </c>
    </row>
    <row r="8" spans="1:4" ht="24" customHeight="1" x14ac:dyDescent="0.45">
      <c r="A8" s="2" t="s">
        <v>151</v>
      </c>
      <c r="B8" s="2" t="s">
        <v>165</v>
      </c>
      <c r="C8" s="2" t="s">
        <v>166</v>
      </c>
      <c r="D8" s="2" t="s">
        <v>154</v>
      </c>
    </row>
    <row r="9" spans="1:4" ht="24" customHeight="1" x14ac:dyDescent="0.45">
      <c r="A9" s="2" t="s">
        <v>151</v>
      </c>
      <c r="B9" s="2" t="s">
        <v>167</v>
      </c>
      <c r="C9" s="2" t="s">
        <v>168</v>
      </c>
      <c r="D9" s="2" t="s">
        <v>154</v>
      </c>
    </row>
    <row r="10" spans="1:4" ht="24" customHeight="1" x14ac:dyDescent="0.45">
      <c r="A10" s="2" t="s">
        <v>151</v>
      </c>
      <c r="B10" s="2" t="s">
        <v>169</v>
      </c>
      <c r="C10" s="2" t="s">
        <v>170</v>
      </c>
      <c r="D10" s="2" t="s">
        <v>154</v>
      </c>
    </row>
    <row r="11" spans="1:4" ht="24" customHeight="1" x14ac:dyDescent="0.45">
      <c r="A11" s="2" t="s">
        <v>171</v>
      </c>
      <c r="B11" s="2" t="s">
        <v>172</v>
      </c>
      <c r="C11" s="2" t="s">
        <v>173</v>
      </c>
      <c r="D11" s="2" t="s">
        <v>154</v>
      </c>
    </row>
    <row r="12" spans="1:4" ht="24" customHeight="1" x14ac:dyDescent="0.45">
      <c r="A12" s="2" t="s">
        <v>171</v>
      </c>
      <c r="B12" s="2" t="s">
        <v>174</v>
      </c>
      <c r="C12" s="2" t="s">
        <v>175</v>
      </c>
      <c r="D12" s="2" t="s">
        <v>154</v>
      </c>
    </row>
    <row r="13" spans="1:4" ht="24" customHeight="1" x14ac:dyDescent="0.45">
      <c r="A13" s="2" t="s">
        <v>171</v>
      </c>
      <c r="B13" s="2" t="s">
        <v>176</v>
      </c>
      <c r="C13" s="2" t="s">
        <v>177</v>
      </c>
      <c r="D13" s="2" t="s">
        <v>154</v>
      </c>
    </row>
    <row r="14" spans="1:4" ht="24" customHeight="1" x14ac:dyDescent="0.45">
      <c r="A14" s="2" t="s">
        <v>171</v>
      </c>
      <c r="B14" s="2" t="s">
        <v>178</v>
      </c>
      <c r="C14" s="2" t="s">
        <v>179</v>
      </c>
      <c r="D14" s="2" t="s">
        <v>154</v>
      </c>
    </row>
    <row r="15" spans="1:4" ht="24" customHeight="1" x14ac:dyDescent="0.45">
      <c r="A15" s="2" t="s">
        <v>171</v>
      </c>
      <c r="B15" s="2" t="s">
        <v>165</v>
      </c>
      <c r="C15" s="2" t="s">
        <v>180</v>
      </c>
      <c r="D15" s="2" t="s">
        <v>154</v>
      </c>
    </row>
    <row r="16" spans="1:4" ht="24" customHeight="1" x14ac:dyDescent="0.45">
      <c r="A16" s="2" t="s">
        <v>171</v>
      </c>
      <c r="B16" s="2" t="s">
        <v>181</v>
      </c>
      <c r="C16" s="2" t="s">
        <v>182</v>
      </c>
      <c r="D16" s="2" t="s">
        <v>154</v>
      </c>
    </row>
    <row r="17" spans="1:4" ht="24" customHeight="1" x14ac:dyDescent="0.45">
      <c r="A17" s="2" t="s">
        <v>171</v>
      </c>
      <c r="B17" s="2" t="s">
        <v>183</v>
      </c>
      <c r="C17" s="2" t="s">
        <v>184</v>
      </c>
      <c r="D17" s="2" t="s">
        <v>154</v>
      </c>
    </row>
    <row r="18" spans="1:4" ht="24" customHeight="1" x14ac:dyDescent="0.45">
      <c r="A18" s="2" t="s">
        <v>171</v>
      </c>
      <c r="B18" s="2" t="s">
        <v>185</v>
      </c>
      <c r="C18" s="2" t="s">
        <v>186</v>
      </c>
      <c r="D18" s="2" t="s">
        <v>154</v>
      </c>
    </row>
    <row r="19" spans="1:4" ht="24" customHeight="1" x14ac:dyDescent="0.45">
      <c r="A19" s="2" t="s">
        <v>171</v>
      </c>
      <c r="B19" s="2" t="s">
        <v>187</v>
      </c>
      <c r="C19" s="2" t="s">
        <v>188</v>
      </c>
      <c r="D19" s="2" t="s">
        <v>154</v>
      </c>
    </row>
    <row r="20" spans="1:4" ht="24" customHeight="1" x14ac:dyDescent="0.45">
      <c r="A20" s="2" t="s">
        <v>171</v>
      </c>
      <c r="B20" s="2" t="s">
        <v>189</v>
      </c>
      <c r="C20" s="2" t="s">
        <v>190</v>
      </c>
      <c r="D20" s="2" t="s">
        <v>154</v>
      </c>
    </row>
    <row r="21" spans="1:4" ht="24" customHeight="1" x14ac:dyDescent="0.45">
      <c r="A21" s="2" t="s">
        <v>191</v>
      </c>
      <c r="B21" s="2" t="s">
        <v>192</v>
      </c>
      <c r="C21" s="2" t="s">
        <v>193</v>
      </c>
      <c r="D21" s="2" t="s">
        <v>154</v>
      </c>
    </row>
    <row r="22" spans="1:4" ht="24" customHeight="1" x14ac:dyDescent="0.45">
      <c r="A22" s="2" t="s">
        <v>191</v>
      </c>
      <c r="B22" s="2" t="s">
        <v>152</v>
      </c>
      <c r="C22" s="2" t="s">
        <v>194</v>
      </c>
      <c r="D22" s="2" t="s">
        <v>154</v>
      </c>
    </row>
    <row r="23" spans="1:4" ht="24" customHeight="1" x14ac:dyDescent="0.45">
      <c r="A23" s="2" t="s">
        <v>191</v>
      </c>
      <c r="B23" s="2" t="s">
        <v>172</v>
      </c>
      <c r="C23" s="2" t="s">
        <v>195</v>
      </c>
      <c r="D23" s="2" t="s">
        <v>154</v>
      </c>
    </row>
    <row r="24" spans="1:4" ht="24" customHeight="1" x14ac:dyDescent="0.45">
      <c r="A24" s="2" t="s">
        <v>191</v>
      </c>
      <c r="B24" s="2" t="s">
        <v>196</v>
      </c>
      <c r="C24" s="2" t="s">
        <v>197</v>
      </c>
      <c r="D24" s="2" t="s">
        <v>154</v>
      </c>
    </row>
    <row r="25" spans="1:4" ht="24" customHeight="1" x14ac:dyDescent="0.45">
      <c r="A25" s="2" t="s">
        <v>191</v>
      </c>
      <c r="B25" s="2" t="s">
        <v>198</v>
      </c>
      <c r="C25" s="2" t="s">
        <v>199</v>
      </c>
      <c r="D25" s="2" t="s">
        <v>154</v>
      </c>
    </row>
    <row r="26" spans="1:4" ht="24" customHeight="1" x14ac:dyDescent="0.45">
      <c r="A26" s="2" t="s">
        <v>191</v>
      </c>
      <c r="B26" s="2" t="s">
        <v>200</v>
      </c>
      <c r="C26" s="2" t="s">
        <v>201</v>
      </c>
      <c r="D26" s="2" t="s">
        <v>154</v>
      </c>
    </row>
    <row r="27" spans="1:4" ht="24" customHeight="1" x14ac:dyDescent="0.45">
      <c r="A27" s="2" t="s">
        <v>202</v>
      </c>
      <c r="B27" s="2" t="s">
        <v>192</v>
      </c>
      <c r="C27" s="2" t="s">
        <v>203</v>
      </c>
      <c r="D27" s="2" t="s">
        <v>154</v>
      </c>
    </row>
    <row r="28" spans="1:4" ht="24" customHeight="1" x14ac:dyDescent="0.45">
      <c r="A28" s="2" t="s">
        <v>202</v>
      </c>
      <c r="B28" s="2" t="s">
        <v>152</v>
      </c>
      <c r="C28" s="2" t="s">
        <v>204</v>
      </c>
      <c r="D28" s="2" t="s">
        <v>154</v>
      </c>
    </row>
    <row r="29" spans="1:4" ht="24" customHeight="1" x14ac:dyDescent="0.45">
      <c r="A29" s="2" t="s">
        <v>202</v>
      </c>
      <c r="B29" s="2" t="s">
        <v>155</v>
      </c>
      <c r="C29" s="2" t="s">
        <v>205</v>
      </c>
      <c r="D29" s="2" t="s">
        <v>154</v>
      </c>
    </row>
    <row r="30" spans="1:4" ht="24" customHeight="1" x14ac:dyDescent="0.45">
      <c r="A30" s="2" t="s">
        <v>202</v>
      </c>
      <c r="B30" s="2" t="s">
        <v>172</v>
      </c>
      <c r="C30" s="2" t="s">
        <v>206</v>
      </c>
      <c r="D30" s="2" t="s">
        <v>154</v>
      </c>
    </row>
    <row r="31" spans="1:4" ht="24" customHeight="1" x14ac:dyDescent="0.45">
      <c r="A31" s="2" t="s">
        <v>202</v>
      </c>
      <c r="B31" s="2" t="s">
        <v>174</v>
      </c>
      <c r="C31" s="2" t="s">
        <v>207</v>
      </c>
      <c r="D31" s="2" t="s">
        <v>154</v>
      </c>
    </row>
    <row r="32" spans="1:4" ht="24" customHeight="1" x14ac:dyDescent="0.45">
      <c r="A32" s="2" t="s">
        <v>202</v>
      </c>
      <c r="B32" s="2" t="s">
        <v>208</v>
      </c>
      <c r="C32" s="2" t="s">
        <v>209</v>
      </c>
      <c r="D32" s="2" t="s">
        <v>154</v>
      </c>
    </row>
    <row r="33" spans="1:4" ht="24" customHeight="1" x14ac:dyDescent="0.45">
      <c r="A33" s="2" t="s">
        <v>202</v>
      </c>
      <c r="B33" s="2" t="s">
        <v>210</v>
      </c>
      <c r="C33" s="2" t="s">
        <v>211</v>
      </c>
      <c r="D33" s="2" t="s">
        <v>154</v>
      </c>
    </row>
    <row r="34" spans="1:4" ht="24" customHeight="1" x14ac:dyDescent="0.45">
      <c r="A34" s="2" t="s">
        <v>202</v>
      </c>
      <c r="B34" s="2" t="s">
        <v>212</v>
      </c>
      <c r="C34" s="2" t="s">
        <v>213</v>
      </c>
      <c r="D34" s="2" t="s">
        <v>154</v>
      </c>
    </row>
    <row r="35" spans="1:4" ht="24" customHeight="1" x14ac:dyDescent="0.45">
      <c r="A35" s="2" t="s">
        <v>202</v>
      </c>
      <c r="B35" s="2" t="s">
        <v>214</v>
      </c>
      <c r="C35" s="2" t="s">
        <v>215</v>
      </c>
      <c r="D35" s="2" t="s">
        <v>154</v>
      </c>
    </row>
    <row r="36" spans="1:4" ht="24" customHeight="1" x14ac:dyDescent="0.45">
      <c r="A36" s="2" t="s">
        <v>202</v>
      </c>
      <c r="B36" s="2" t="s">
        <v>216</v>
      </c>
      <c r="C36" s="2" t="s">
        <v>217</v>
      </c>
      <c r="D36" s="2" t="s">
        <v>154</v>
      </c>
    </row>
    <row r="37" spans="1:4" ht="24" customHeight="1" x14ac:dyDescent="0.45">
      <c r="A37" s="2" t="s">
        <v>202</v>
      </c>
      <c r="B37" s="2" t="s">
        <v>218</v>
      </c>
      <c r="C37" s="2" t="s">
        <v>219</v>
      </c>
      <c r="D37" s="2" t="s">
        <v>154</v>
      </c>
    </row>
    <row r="38" spans="1:4" ht="24" customHeight="1" x14ac:dyDescent="0.45">
      <c r="A38" s="2" t="s">
        <v>202</v>
      </c>
      <c r="B38" s="2" t="s">
        <v>220</v>
      </c>
      <c r="C38" s="2" t="s">
        <v>221</v>
      </c>
      <c r="D38" s="2" t="s">
        <v>154</v>
      </c>
    </row>
    <row r="39" spans="1:4" ht="24" customHeight="1" x14ac:dyDescent="0.45">
      <c r="A39" s="2" t="s">
        <v>202</v>
      </c>
      <c r="B39" s="2" t="s">
        <v>222</v>
      </c>
      <c r="C39" s="2" t="s">
        <v>188</v>
      </c>
      <c r="D39" s="2" t="s">
        <v>154</v>
      </c>
    </row>
    <row r="40" spans="1:4" ht="24" customHeight="1" x14ac:dyDescent="0.45">
      <c r="A40" s="2" t="s">
        <v>202</v>
      </c>
      <c r="B40" s="2" t="s">
        <v>223</v>
      </c>
      <c r="C40" s="2" t="s">
        <v>224</v>
      </c>
      <c r="D40" s="2" t="s">
        <v>154</v>
      </c>
    </row>
    <row r="41" spans="1:4" ht="24" customHeight="1" x14ac:dyDescent="0.45">
      <c r="A41" s="2" t="s">
        <v>202</v>
      </c>
      <c r="B41" s="2" t="s">
        <v>225</v>
      </c>
      <c r="C41" s="2" t="s">
        <v>226</v>
      </c>
      <c r="D41" s="2" t="s">
        <v>154</v>
      </c>
    </row>
    <row r="42" spans="1:4" ht="24" customHeight="1" x14ac:dyDescent="0.45">
      <c r="A42" s="2" t="s">
        <v>202</v>
      </c>
      <c r="B42" s="2" t="s">
        <v>227</v>
      </c>
      <c r="C42" s="2" t="s">
        <v>228</v>
      </c>
      <c r="D42" s="2" t="s">
        <v>154</v>
      </c>
    </row>
    <row r="43" spans="1:4" ht="24" customHeight="1" x14ac:dyDescent="0.45">
      <c r="A43" s="2" t="s">
        <v>202</v>
      </c>
      <c r="B43" s="2" t="s">
        <v>229</v>
      </c>
      <c r="C43" s="2" t="s">
        <v>230</v>
      </c>
      <c r="D43" s="2" t="s">
        <v>154</v>
      </c>
    </row>
    <row r="44" spans="1:4" ht="24" customHeight="1" x14ac:dyDescent="0.45">
      <c r="A44" s="2" t="s">
        <v>202</v>
      </c>
      <c r="B44" s="2" t="s">
        <v>231</v>
      </c>
      <c r="C44" s="2" t="s">
        <v>232</v>
      </c>
      <c r="D44" s="2" t="s">
        <v>154</v>
      </c>
    </row>
    <row r="45" spans="1:4" ht="24" customHeight="1" x14ac:dyDescent="0.45">
      <c r="A45" s="2" t="s">
        <v>202</v>
      </c>
      <c r="B45" s="2" t="s">
        <v>233</v>
      </c>
      <c r="C45" s="2" t="s">
        <v>234</v>
      </c>
      <c r="D45" s="2" t="s">
        <v>154</v>
      </c>
    </row>
    <row r="46" spans="1:4" ht="24" customHeight="1" x14ac:dyDescent="0.45">
      <c r="A46" s="2" t="s">
        <v>202</v>
      </c>
      <c r="B46" s="2" t="s">
        <v>235</v>
      </c>
      <c r="C46" s="2" t="s">
        <v>236</v>
      </c>
      <c r="D46" s="2" t="s">
        <v>154</v>
      </c>
    </row>
    <row r="47" spans="1:4" ht="24" customHeight="1" x14ac:dyDescent="0.45">
      <c r="A47" s="2" t="s">
        <v>202</v>
      </c>
      <c r="B47" s="2" t="s">
        <v>237</v>
      </c>
      <c r="C47" s="2" t="s">
        <v>238</v>
      </c>
      <c r="D47" s="2" t="s">
        <v>154</v>
      </c>
    </row>
    <row r="48" spans="1:4" ht="24" customHeight="1" x14ac:dyDescent="0.45">
      <c r="A48" s="2" t="s">
        <v>202</v>
      </c>
      <c r="B48" s="2" t="s">
        <v>239</v>
      </c>
      <c r="C48" s="2" t="s">
        <v>240</v>
      </c>
      <c r="D48" s="2" t="s">
        <v>154</v>
      </c>
    </row>
    <row r="49" spans="1:4" ht="24" customHeight="1" x14ac:dyDescent="0.45">
      <c r="A49" s="2" t="s">
        <v>202</v>
      </c>
      <c r="B49" s="2" t="s">
        <v>241</v>
      </c>
      <c r="C49" s="2" t="s">
        <v>242</v>
      </c>
      <c r="D49" s="2" t="s">
        <v>154</v>
      </c>
    </row>
    <row r="50" spans="1:4" ht="24" customHeight="1" x14ac:dyDescent="0.45">
      <c r="A50" s="2" t="s">
        <v>202</v>
      </c>
      <c r="B50" s="2" t="s">
        <v>243</v>
      </c>
      <c r="C50" s="2" t="s">
        <v>244</v>
      </c>
      <c r="D50" s="2" t="s">
        <v>154</v>
      </c>
    </row>
    <row r="51" spans="1:4" ht="24" customHeight="1" x14ac:dyDescent="0.45">
      <c r="A51" s="2" t="s">
        <v>202</v>
      </c>
      <c r="B51" s="2" t="s">
        <v>245</v>
      </c>
      <c r="C51" s="2" t="s">
        <v>246</v>
      </c>
      <c r="D51" s="2" t="s">
        <v>154</v>
      </c>
    </row>
    <row r="52" spans="1:4" ht="24" customHeight="1" x14ac:dyDescent="0.45">
      <c r="A52" s="2" t="s">
        <v>202</v>
      </c>
      <c r="B52" s="2" t="s">
        <v>247</v>
      </c>
      <c r="C52" s="2" t="s">
        <v>248</v>
      </c>
      <c r="D52" s="2" t="s">
        <v>154</v>
      </c>
    </row>
    <row r="53" spans="1:4" ht="24" customHeight="1" x14ac:dyDescent="0.45">
      <c r="A53" s="2" t="s">
        <v>202</v>
      </c>
      <c r="B53" s="2" t="s">
        <v>249</v>
      </c>
      <c r="C53" s="2" t="s">
        <v>250</v>
      </c>
      <c r="D53" s="2" t="s">
        <v>154</v>
      </c>
    </row>
    <row r="54" spans="1:4" ht="24" customHeight="1" x14ac:dyDescent="0.45">
      <c r="A54" s="2" t="s">
        <v>251</v>
      </c>
      <c r="B54" s="2" t="s">
        <v>252</v>
      </c>
      <c r="C54" s="2" t="s">
        <v>253</v>
      </c>
      <c r="D54" s="2" t="s">
        <v>154</v>
      </c>
    </row>
    <row r="55" spans="1:4" ht="24" customHeight="1" x14ac:dyDescent="0.45">
      <c r="A55" s="2" t="s">
        <v>251</v>
      </c>
      <c r="B55" s="2" t="s">
        <v>254</v>
      </c>
      <c r="C55" s="2" t="s">
        <v>253</v>
      </c>
      <c r="D55" s="2" t="s">
        <v>154</v>
      </c>
    </row>
    <row r="56" spans="1:4" ht="24" customHeight="1" x14ac:dyDescent="0.45">
      <c r="A56" s="2" t="s">
        <v>251</v>
      </c>
      <c r="B56" s="2" t="s">
        <v>255</v>
      </c>
      <c r="C56" s="2" t="s">
        <v>253</v>
      </c>
      <c r="D56" s="2" t="s">
        <v>154</v>
      </c>
    </row>
    <row r="57" spans="1:4" ht="24" customHeight="1" x14ac:dyDescent="0.45">
      <c r="A57" s="2" t="s">
        <v>251</v>
      </c>
      <c r="B57" s="2" t="s">
        <v>256</v>
      </c>
      <c r="C57" s="2" t="s">
        <v>253</v>
      </c>
      <c r="D57" s="2" t="s">
        <v>154</v>
      </c>
    </row>
    <row r="58" spans="1:4" ht="24" customHeight="1" x14ac:dyDescent="0.45">
      <c r="A58" s="2" t="s">
        <v>251</v>
      </c>
      <c r="B58" s="2" t="s">
        <v>257</v>
      </c>
      <c r="C58" s="2" t="s">
        <v>253</v>
      </c>
      <c r="D58" s="2" t="s">
        <v>154</v>
      </c>
    </row>
    <row r="59" spans="1:4" ht="24" customHeight="1" x14ac:dyDescent="0.45">
      <c r="A59" s="2" t="s">
        <v>251</v>
      </c>
      <c r="B59" s="2" t="s">
        <v>258</v>
      </c>
      <c r="C59" s="2" t="s">
        <v>253</v>
      </c>
      <c r="D59" s="2" t="s">
        <v>154</v>
      </c>
    </row>
    <row r="60" spans="1:4" ht="24" customHeight="1" x14ac:dyDescent="0.45">
      <c r="A60" s="2" t="s">
        <v>251</v>
      </c>
      <c r="B60" s="2" t="s">
        <v>259</v>
      </c>
      <c r="C60" s="2" t="s">
        <v>253</v>
      </c>
      <c r="D60" s="2" t="s">
        <v>154</v>
      </c>
    </row>
    <row r="61" spans="1:4" ht="24" customHeight="1" x14ac:dyDescent="0.45">
      <c r="A61" s="2" t="s">
        <v>251</v>
      </c>
      <c r="B61" s="2" t="s">
        <v>260</v>
      </c>
      <c r="C61" s="2" t="s">
        <v>253</v>
      </c>
      <c r="D61" s="2" t="s">
        <v>154</v>
      </c>
    </row>
    <row r="62" spans="1:4" ht="24" customHeight="1" x14ac:dyDescent="0.45">
      <c r="A62" s="2" t="s">
        <v>251</v>
      </c>
      <c r="B62" s="2" t="s">
        <v>261</v>
      </c>
      <c r="C62" s="2" t="s">
        <v>253</v>
      </c>
      <c r="D62" s="2" t="s">
        <v>154</v>
      </c>
    </row>
    <row r="63" spans="1:4" ht="24" customHeight="1" x14ac:dyDescent="0.45">
      <c r="A63" s="2" t="s">
        <v>251</v>
      </c>
      <c r="B63" s="2" t="s">
        <v>262</v>
      </c>
      <c r="C63" s="2" t="s">
        <v>253</v>
      </c>
      <c r="D63" s="2" t="s">
        <v>154</v>
      </c>
    </row>
    <row r="64" spans="1:4" ht="24" customHeight="1" x14ac:dyDescent="0.45">
      <c r="A64" s="2" t="s">
        <v>251</v>
      </c>
      <c r="B64" s="2" t="s">
        <v>263</v>
      </c>
      <c r="C64" s="2" t="s">
        <v>253</v>
      </c>
      <c r="D64" s="2" t="s">
        <v>154</v>
      </c>
    </row>
    <row r="65" spans="1:4" ht="24" customHeight="1" x14ac:dyDescent="0.45">
      <c r="A65" s="2" t="s">
        <v>251</v>
      </c>
      <c r="B65" s="2" t="s">
        <v>264</v>
      </c>
      <c r="C65" s="2" t="s">
        <v>253</v>
      </c>
      <c r="D65" s="2" t="s">
        <v>154</v>
      </c>
    </row>
    <row r="66" spans="1:4" ht="24" customHeight="1" x14ac:dyDescent="0.45">
      <c r="A66" s="2" t="s">
        <v>251</v>
      </c>
      <c r="B66" s="2" t="s">
        <v>265</v>
      </c>
      <c r="C66" s="2" t="s">
        <v>253</v>
      </c>
      <c r="D66" s="2" t="s">
        <v>154</v>
      </c>
    </row>
    <row r="67" spans="1:4" ht="24" customHeight="1" x14ac:dyDescent="0.45">
      <c r="A67" s="2" t="s">
        <v>251</v>
      </c>
      <c r="B67" s="2" t="s">
        <v>266</v>
      </c>
      <c r="C67" s="2" t="s">
        <v>253</v>
      </c>
      <c r="D67" s="2" t="s">
        <v>154</v>
      </c>
    </row>
    <row r="68" spans="1:4" ht="24" customHeight="1" x14ac:dyDescent="0.45">
      <c r="A68" s="2" t="s">
        <v>251</v>
      </c>
      <c r="B68" s="2" t="s">
        <v>267</v>
      </c>
      <c r="C68" s="2" t="s">
        <v>253</v>
      </c>
      <c r="D68" s="2" t="s">
        <v>154</v>
      </c>
    </row>
    <row r="69" spans="1:4" ht="24" customHeight="1" x14ac:dyDescent="0.45">
      <c r="A69" s="2" t="s">
        <v>251</v>
      </c>
      <c r="B69" s="2" t="s">
        <v>165</v>
      </c>
      <c r="C69" s="2" t="s">
        <v>253</v>
      </c>
      <c r="D69" s="2" t="s">
        <v>154</v>
      </c>
    </row>
    <row r="70" spans="1:4" ht="24" customHeight="1" x14ac:dyDescent="0.45">
      <c r="A70" s="2" t="s">
        <v>268</v>
      </c>
      <c r="B70" s="2" t="s">
        <v>269</v>
      </c>
      <c r="C70" s="2" t="s">
        <v>270</v>
      </c>
      <c r="D70" s="2" t="s">
        <v>154</v>
      </c>
    </row>
    <row r="71" spans="1:4" ht="24" customHeight="1" x14ac:dyDescent="0.45">
      <c r="A71" s="2" t="s">
        <v>268</v>
      </c>
      <c r="B71" s="2" t="s">
        <v>271</v>
      </c>
      <c r="C71" s="2" t="s">
        <v>270</v>
      </c>
      <c r="D71" s="2" t="s">
        <v>154</v>
      </c>
    </row>
    <row r="72" spans="1:4" ht="24" customHeight="1" x14ac:dyDescent="0.45">
      <c r="A72" s="2" t="s">
        <v>268</v>
      </c>
      <c r="B72" s="2" t="s">
        <v>272</v>
      </c>
      <c r="C72" s="2" t="s">
        <v>270</v>
      </c>
      <c r="D72" s="2" t="s">
        <v>154</v>
      </c>
    </row>
    <row r="73" spans="1:4" ht="24" customHeight="1" x14ac:dyDescent="0.45">
      <c r="A73" s="2" t="s">
        <v>268</v>
      </c>
      <c r="B73" s="2" t="s">
        <v>273</v>
      </c>
      <c r="C73" s="2" t="s">
        <v>270</v>
      </c>
      <c r="D73" s="2" t="s">
        <v>154</v>
      </c>
    </row>
    <row r="74" spans="1:4" ht="24" customHeight="1" x14ac:dyDescent="0.45">
      <c r="A74" s="2" t="s">
        <v>268</v>
      </c>
      <c r="B74" s="2" t="s">
        <v>274</v>
      </c>
      <c r="C74" s="2" t="s">
        <v>270</v>
      </c>
      <c r="D74" s="2" t="s">
        <v>154</v>
      </c>
    </row>
    <row r="75" spans="1:4" ht="24" customHeight="1" x14ac:dyDescent="0.45">
      <c r="A75" s="2" t="s">
        <v>275</v>
      </c>
      <c r="B75" s="2" t="s">
        <v>192</v>
      </c>
      <c r="C75" s="2" t="s">
        <v>276</v>
      </c>
      <c r="D75" s="2" t="s">
        <v>154</v>
      </c>
    </row>
    <row r="76" spans="1:4" ht="24" customHeight="1" x14ac:dyDescent="0.45">
      <c r="A76" s="2" t="s">
        <v>275</v>
      </c>
      <c r="B76" s="2" t="s">
        <v>152</v>
      </c>
      <c r="C76" s="2" t="s">
        <v>276</v>
      </c>
      <c r="D76" s="2" t="s">
        <v>154</v>
      </c>
    </row>
    <row r="77" spans="1:4" ht="24" customHeight="1" x14ac:dyDescent="0.45">
      <c r="A77" s="2" t="s">
        <v>275</v>
      </c>
      <c r="B77" s="2" t="s">
        <v>172</v>
      </c>
      <c r="C77" s="2" t="s">
        <v>276</v>
      </c>
      <c r="D77" s="2" t="s">
        <v>154</v>
      </c>
    </row>
    <row r="78" spans="1:4" ht="24" customHeight="1" x14ac:dyDescent="0.45">
      <c r="A78" s="2" t="s">
        <v>275</v>
      </c>
      <c r="B78" s="2" t="s">
        <v>277</v>
      </c>
      <c r="C78" s="2" t="s">
        <v>276</v>
      </c>
      <c r="D78" s="2" t="s">
        <v>154</v>
      </c>
    </row>
    <row r="79" spans="1:4" ht="24" customHeight="1" x14ac:dyDescent="0.45">
      <c r="A79" s="2" t="s">
        <v>275</v>
      </c>
      <c r="B79" s="2" t="s">
        <v>278</v>
      </c>
      <c r="C79" s="2" t="s">
        <v>276</v>
      </c>
      <c r="D79" s="2" t="s">
        <v>154</v>
      </c>
    </row>
    <row r="80" spans="1:4" ht="24" customHeight="1" x14ac:dyDescent="0.45">
      <c r="A80" s="2" t="s">
        <v>275</v>
      </c>
      <c r="B80" s="2" t="s">
        <v>279</v>
      </c>
      <c r="C80" s="2" t="s">
        <v>276</v>
      </c>
      <c r="D80" s="2" t="s">
        <v>154</v>
      </c>
    </row>
    <row r="81" spans="1:4" x14ac:dyDescent="0.45">
      <c r="A81" s="2" t="s">
        <v>275</v>
      </c>
      <c r="B81" s="2" t="s">
        <v>280</v>
      </c>
      <c r="C81" s="2" t="s">
        <v>276</v>
      </c>
      <c r="D81" s="2" t="s">
        <v>154</v>
      </c>
    </row>
    <row r="82" spans="1:4" x14ac:dyDescent="0.45">
      <c r="A82" s="2" t="s">
        <v>275</v>
      </c>
      <c r="B82" s="2" t="s">
        <v>281</v>
      </c>
      <c r="C82" s="2" t="s">
        <v>276</v>
      </c>
      <c r="D82" s="2" t="s">
        <v>154</v>
      </c>
    </row>
    <row r="83" spans="1:4" x14ac:dyDescent="0.45">
      <c r="A83" s="2" t="s">
        <v>280</v>
      </c>
      <c r="B83" s="2" t="s">
        <v>282</v>
      </c>
      <c r="C83" s="2" t="s">
        <v>283</v>
      </c>
      <c r="D83" s="2" t="s">
        <v>154</v>
      </c>
    </row>
    <row r="84" spans="1:4" x14ac:dyDescent="0.45">
      <c r="A84" s="2" t="s">
        <v>280</v>
      </c>
      <c r="B84" s="2" t="s">
        <v>284</v>
      </c>
      <c r="C84" s="2" t="s">
        <v>283</v>
      </c>
      <c r="D84" s="2" t="s">
        <v>154</v>
      </c>
    </row>
    <row r="85" spans="1:4" x14ac:dyDescent="0.45">
      <c r="A85" s="2" t="s">
        <v>280</v>
      </c>
      <c r="B85" s="2" t="s">
        <v>285</v>
      </c>
      <c r="C85" s="2" t="s">
        <v>283</v>
      </c>
      <c r="D85" s="2" t="s">
        <v>154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25" x14ac:dyDescent="0.45"/>
  <cols>
    <col min="1" max="1" width="19" customWidth="1"/>
    <col min="2" max="2" width="21" customWidth="1"/>
    <col min="3" max="3" width="14" customWidth="1"/>
    <col min="4" max="4" width="12" customWidth="1"/>
    <col min="5" max="5" width="45" customWidth="1"/>
  </cols>
  <sheetData>
    <row r="1" spans="1:5" x14ac:dyDescent="0.45">
      <c r="A1" s="8" t="s">
        <v>255</v>
      </c>
      <c r="B1" s="8" t="s">
        <v>286</v>
      </c>
      <c r="C1" s="8" t="s">
        <v>287</v>
      </c>
      <c r="D1" s="8" t="s">
        <v>288</v>
      </c>
      <c r="E1" s="8" t="s">
        <v>289</v>
      </c>
    </row>
    <row r="2" spans="1:5" x14ac:dyDescent="0.45">
      <c r="A2" t="s">
        <v>290</v>
      </c>
      <c r="B2" t="s">
        <v>291</v>
      </c>
      <c r="C2">
        <v>24</v>
      </c>
      <c r="D2" t="s">
        <v>292</v>
      </c>
      <c r="E2" t="s">
        <v>293</v>
      </c>
    </row>
    <row r="3" spans="1:5" x14ac:dyDescent="0.45">
      <c r="A3" t="s">
        <v>290</v>
      </c>
      <c r="B3" t="s">
        <v>294</v>
      </c>
      <c r="C3">
        <v>520</v>
      </c>
      <c r="D3" t="s">
        <v>292</v>
      </c>
      <c r="E3" t="s">
        <v>293</v>
      </c>
    </row>
    <row r="4" spans="1:5" x14ac:dyDescent="0.45">
      <c r="A4" t="s">
        <v>290</v>
      </c>
      <c r="B4" t="s">
        <v>295</v>
      </c>
      <c r="C4">
        <v>1000</v>
      </c>
      <c r="D4" t="s">
        <v>292</v>
      </c>
      <c r="E4" t="s">
        <v>293</v>
      </c>
    </row>
    <row r="5" spans="1:5" x14ac:dyDescent="0.45">
      <c r="A5" t="s">
        <v>296</v>
      </c>
      <c r="B5" t="s">
        <v>297</v>
      </c>
      <c r="C5">
        <v>1000</v>
      </c>
      <c r="D5" t="s">
        <v>298</v>
      </c>
      <c r="E5" t="s">
        <v>299</v>
      </c>
    </row>
    <row r="6" spans="1:5" x14ac:dyDescent="0.45">
      <c r="A6" t="s">
        <v>300</v>
      </c>
      <c r="B6" t="s">
        <v>301</v>
      </c>
      <c r="C6">
        <v>1000</v>
      </c>
      <c r="D6" t="s">
        <v>302</v>
      </c>
      <c r="E6" t="s">
        <v>303</v>
      </c>
    </row>
    <row r="7" spans="1:5" x14ac:dyDescent="0.45">
      <c r="A7" t="s">
        <v>304</v>
      </c>
      <c r="B7" t="s">
        <v>305</v>
      </c>
      <c r="C7" t="s">
        <v>306</v>
      </c>
      <c r="D7" t="s">
        <v>307</v>
      </c>
      <c r="E7" t="s">
        <v>308</v>
      </c>
    </row>
    <row r="8" spans="1:5" x14ac:dyDescent="0.45">
      <c r="A8" t="s">
        <v>304</v>
      </c>
      <c r="B8" t="s">
        <v>309</v>
      </c>
      <c r="C8" t="s">
        <v>306</v>
      </c>
      <c r="D8" t="s">
        <v>310</v>
      </c>
      <c r="E8" t="s">
        <v>308</v>
      </c>
    </row>
    <row r="9" spans="1:5" x14ac:dyDescent="0.45">
      <c r="A9" t="s">
        <v>304</v>
      </c>
      <c r="B9" t="s">
        <v>311</v>
      </c>
      <c r="C9" t="s">
        <v>306</v>
      </c>
      <c r="D9" t="s">
        <v>312</v>
      </c>
      <c r="E9" t="s">
        <v>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I7"/>
  <sheetViews>
    <sheetView showGridLines="0" workbookViewId="0"/>
  </sheetViews>
  <sheetFormatPr defaultRowHeight="14.25" x14ac:dyDescent="0.45"/>
  <cols>
    <col min="1" max="1" width="13" customWidth="1"/>
    <col min="2" max="2" width="16" customWidth="1"/>
    <col min="3" max="3" width="30" customWidth="1"/>
    <col min="4" max="5" width="19" customWidth="1"/>
    <col min="6" max="7" width="40" customWidth="1"/>
    <col min="8" max="8" width="20" customWidth="1"/>
    <col min="9" max="9" width="30" customWidth="1"/>
  </cols>
  <sheetData>
    <row r="1" spans="1:9" x14ac:dyDescent="0.45">
      <c r="A1" s="3" t="s">
        <v>152</v>
      </c>
      <c r="B1" s="3" t="s">
        <v>155</v>
      </c>
      <c r="C1" s="3" t="s">
        <v>157</v>
      </c>
      <c r="D1" s="3" t="s">
        <v>159</v>
      </c>
      <c r="E1" s="3" t="s">
        <v>161</v>
      </c>
      <c r="F1" s="3" t="s">
        <v>163</v>
      </c>
      <c r="G1" s="3" t="s">
        <v>165</v>
      </c>
      <c r="H1" s="3" t="s">
        <v>167</v>
      </c>
      <c r="I1" s="3" t="s">
        <v>169</v>
      </c>
    </row>
    <row r="2" spans="1:9" ht="28.5" x14ac:dyDescent="0.45">
      <c r="A2" s="2" t="s">
        <v>313</v>
      </c>
      <c r="B2" s="2">
        <v>1</v>
      </c>
      <c r="C2" s="2" t="s">
        <v>314</v>
      </c>
      <c r="D2" s="2" t="s">
        <v>315</v>
      </c>
      <c r="E2" s="2" t="s">
        <v>316</v>
      </c>
      <c r="F2" s="2" t="s">
        <v>317</v>
      </c>
      <c r="G2" s="2" t="s">
        <v>318</v>
      </c>
      <c r="H2" s="2" t="s">
        <v>154</v>
      </c>
      <c r="I2" s="2" t="str">
        <f t="shared" ref="I2:I7" si="0">D2&amp;" → "&amp;E2</f>
        <v>Hamburg → Hannover</v>
      </c>
    </row>
    <row r="3" spans="1:9" ht="28.5" x14ac:dyDescent="0.45">
      <c r="A3" s="2" t="s">
        <v>319</v>
      </c>
      <c r="B3" s="2">
        <v>2</v>
      </c>
      <c r="C3" s="2" t="s">
        <v>320</v>
      </c>
      <c r="D3" s="2" t="s">
        <v>316</v>
      </c>
      <c r="E3" s="2" t="s">
        <v>321</v>
      </c>
      <c r="F3" s="2" t="s">
        <v>317</v>
      </c>
      <c r="G3" s="2" t="s">
        <v>318</v>
      </c>
      <c r="H3" s="2" t="s">
        <v>154</v>
      </c>
      <c r="I3" s="2" t="str">
        <f t="shared" si="0"/>
        <v>Hannover → Duisburg</v>
      </c>
    </row>
    <row r="4" spans="1:9" ht="28.5" x14ac:dyDescent="0.45">
      <c r="A4" s="2" t="s">
        <v>322</v>
      </c>
      <c r="B4" s="2">
        <v>3</v>
      </c>
      <c r="C4" s="2" t="s">
        <v>323</v>
      </c>
      <c r="D4" s="2" t="s">
        <v>321</v>
      </c>
      <c r="E4" s="2" t="s">
        <v>324</v>
      </c>
      <c r="F4" s="2" t="s">
        <v>317</v>
      </c>
      <c r="G4" s="2" t="s">
        <v>318</v>
      </c>
      <c r="H4" s="2" t="s">
        <v>154</v>
      </c>
      <c r="I4" s="2" t="str">
        <f t="shared" si="0"/>
        <v>Duisburg → Köln</v>
      </c>
    </row>
    <row r="5" spans="1:9" ht="28.5" x14ac:dyDescent="0.45">
      <c r="A5" s="2" t="s">
        <v>325</v>
      </c>
      <c r="B5" s="2">
        <v>4</v>
      </c>
      <c r="C5" s="2" t="s">
        <v>326</v>
      </c>
      <c r="D5" s="2" t="s">
        <v>324</v>
      </c>
      <c r="E5" s="2" t="s">
        <v>327</v>
      </c>
      <c r="F5" s="2" t="s">
        <v>317</v>
      </c>
      <c r="G5" s="2" t="s">
        <v>318</v>
      </c>
      <c r="H5" s="2" t="s">
        <v>154</v>
      </c>
      <c r="I5" s="2" t="str">
        <f t="shared" si="0"/>
        <v>Köln → Frankfurt am Main</v>
      </c>
    </row>
    <row r="6" spans="1:9" ht="28.5" x14ac:dyDescent="0.45">
      <c r="A6" s="2" t="s">
        <v>328</v>
      </c>
      <c r="B6" s="2">
        <v>5</v>
      </c>
      <c r="C6" s="2" t="s">
        <v>329</v>
      </c>
      <c r="D6" s="2" t="s">
        <v>327</v>
      </c>
      <c r="E6" s="2" t="s">
        <v>330</v>
      </c>
      <c r="F6" s="2" t="s">
        <v>317</v>
      </c>
      <c r="G6" s="2" t="s">
        <v>318</v>
      </c>
      <c r="H6" s="2" t="s">
        <v>154</v>
      </c>
      <c r="I6" s="2" t="str">
        <f t="shared" si="0"/>
        <v>Frankfurt am Main → Mannheim</v>
      </c>
    </row>
    <row r="7" spans="1:9" ht="28.5" x14ac:dyDescent="0.45">
      <c r="A7" s="2" t="s">
        <v>331</v>
      </c>
      <c r="B7" s="2">
        <v>6</v>
      </c>
      <c r="C7" s="2" t="s">
        <v>332</v>
      </c>
      <c r="D7" s="2" t="s">
        <v>330</v>
      </c>
      <c r="E7" s="2" t="s">
        <v>333</v>
      </c>
      <c r="F7" s="2" t="s">
        <v>317</v>
      </c>
      <c r="G7" s="2" t="s">
        <v>318</v>
      </c>
      <c r="H7" s="2" t="s">
        <v>154</v>
      </c>
      <c r="I7" s="2" t="str">
        <f t="shared" si="0"/>
        <v>Mannheim → Weil am Rhein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J4"/>
  <sheetViews>
    <sheetView showGridLines="0" tabSelected="1" workbookViewId="0">
      <selection activeCell="E6" sqref="E6"/>
    </sheetView>
  </sheetViews>
  <sheetFormatPr defaultRowHeight="14.25" x14ac:dyDescent="0.45"/>
  <cols>
    <col min="1" max="2" width="12" customWidth="1"/>
    <col min="3" max="3" width="25" customWidth="1"/>
    <col min="4" max="4" width="17" customWidth="1"/>
    <col min="5" max="5" width="40" customWidth="1"/>
    <col min="6" max="6" width="25" customWidth="1"/>
    <col min="7" max="7" width="21" customWidth="1"/>
    <col min="8" max="8" width="25" customWidth="1"/>
    <col min="9" max="9" width="27" customWidth="1"/>
    <col min="10" max="10" width="33" customWidth="1"/>
  </cols>
  <sheetData>
    <row r="1" spans="1:10" x14ac:dyDescent="0.45">
      <c r="A1" s="3" t="s">
        <v>172</v>
      </c>
      <c r="B1" s="3" t="s">
        <v>174</v>
      </c>
      <c r="C1" s="3" t="s">
        <v>176</v>
      </c>
      <c r="D1" s="3" t="s">
        <v>178</v>
      </c>
      <c r="E1" s="3" t="s">
        <v>165</v>
      </c>
      <c r="F1" s="3" t="s">
        <v>181</v>
      </c>
      <c r="G1" s="3" t="s">
        <v>183</v>
      </c>
      <c r="H1" s="3" t="s">
        <v>185</v>
      </c>
      <c r="I1" s="3" t="s">
        <v>187</v>
      </c>
      <c r="J1" s="3" t="s">
        <v>189</v>
      </c>
    </row>
    <row r="2" spans="1:10" ht="28.5" x14ac:dyDescent="0.45">
      <c r="A2" s="2" t="s">
        <v>334</v>
      </c>
      <c r="B2" s="2">
        <v>1</v>
      </c>
      <c r="C2" s="2" t="s">
        <v>444</v>
      </c>
      <c r="D2" s="2" t="s">
        <v>335</v>
      </c>
      <c r="E2" s="2" t="s">
        <v>336</v>
      </c>
      <c r="F2" s="4">
        <v>24</v>
      </c>
      <c r="G2" s="4">
        <v>60</v>
      </c>
      <c r="H2" s="4">
        <v>0.5</v>
      </c>
      <c r="I2" s="5">
        <v>0.09</v>
      </c>
      <c r="J2" s="5">
        <v>0</v>
      </c>
    </row>
    <row r="3" spans="1:10" ht="28.5" x14ac:dyDescent="0.45">
      <c r="A3" s="2" t="s">
        <v>337</v>
      </c>
      <c r="B3" s="2">
        <v>2</v>
      </c>
      <c r="C3" s="2" t="s">
        <v>338</v>
      </c>
      <c r="D3" s="2" t="s">
        <v>338</v>
      </c>
      <c r="E3" s="2" t="s">
        <v>339</v>
      </c>
      <c r="F3" s="4">
        <v>520</v>
      </c>
      <c r="G3" s="4">
        <v>35</v>
      </c>
      <c r="H3" s="4">
        <v>4</v>
      </c>
      <c r="I3" s="5">
        <v>0.05</v>
      </c>
      <c r="J3" s="5">
        <v>4</v>
      </c>
    </row>
    <row r="4" spans="1:10" x14ac:dyDescent="0.45">
      <c r="A4" s="2" t="s">
        <v>340</v>
      </c>
      <c r="B4" s="2">
        <v>3</v>
      </c>
      <c r="C4" s="2" t="s">
        <v>340</v>
      </c>
      <c r="D4" s="2" t="s">
        <v>340</v>
      </c>
      <c r="E4" s="2" t="s">
        <v>341</v>
      </c>
      <c r="F4" s="4">
        <v>1000</v>
      </c>
      <c r="G4" s="4">
        <v>12</v>
      </c>
      <c r="H4" s="4">
        <v>6</v>
      </c>
      <c r="I4" s="5">
        <v>0.03</v>
      </c>
      <c r="J4" s="5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F19"/>
  <sheetViews>
    <sheetView showGridLines="0" workbookViewId="0"/>
  </sheetViews>
  <sheetFormatPr defaultRowHeight="14.25" x14ac:dyDescent="0.45"/>
  <cols>
    <col min="1" max="1" width="18" customWidth="1"/>
    <col min="2" max="2" width="13" customWidth="1"/>
    <col min="3" max="3" width="12" customWidth="1"/>
    <col min="4" max="6" width="40" customWidth="1"/>
  </cols>
  <sheetData>
    <row r="1" spans="1:6" ht="24" customHeight="1" x14ac:dyDescent="0.45">
      <c r="A1" s="3" t="s">
        <v>192</v>
      </c>
      <c r="B1" s="3" t="s">
        <v>152</v>
      </c>
      <c r="C1" s="3" t="s">
        <v>172</v>
      </c>
      <c r="D1" s="3" t="s">
        <v>196</v>
      </c>
      <c r="E1" s="3" t="s">
        <v>198</v>
      </c>
      <c r="F1" s="3" t="s">
        <v>200</v>
      </c>
    </row>
    <row r="2" spans="1:6" ht="24" customHeight="1" x14ac:dyDescent="0.45">
      <c r="A2" s="2" t="str">
        <f t="shared" ref="A2:A19" si="0">B2&amp;"_"&amp;C2</f>
        <v>T1_IWT</v>
      </c>
      <c r="B2" s="2" t="s">
        <v>313</v>
      </c>
      <c r="C2" s="2" t="s">
        <v>340</v>
      </c>
      <c r="D2" s="2" t="s">
        <v>342</v>
      </c>
      <c r="E2" s="2" t="s">
        <v>343</v>
      </c>
      <c r="F2" s="2" t="s">
        <v>344</v>
      </c>
    </row>
    <row r="3" spans="1:6" ht="24" customHeight="1" x14ac:dyDescent="0.45">
      <c r="A3" s="2" t="str">
        <f t="shared" si="0"/>
        <v>T1_RAIL</v>
      </c>
      <c r="B3" s="2" t="s">
        <v>313</v>
      </c>
      <c r="C3" s="2" t="s">
        <v>337</v>
      </c>
      <c r="D3" s="2" t="s">
        <v>345</v>
      </c>
      <c r="E3" s="2" t="s">
        <v>346</v>
      </c>
      <c r="F3" s="2" t="s">
        <v>347</v>
      </c>
    </row>
    <row r="4" spans="1:6" ht="24" customHeight="1" x14ac:dyDescent="0.45">
      <c r="A4" s="2" t="str">
        <f t="shared" si="0"/>
        <v>T1_ROAD</v>
      </c>
      <c r="B4" s="2" t="s">
        <v>313</v>
      </c>
      <c r="C4" s="2" t="s">
        <v>334</v>
      </c>
      <c r="D4" s="2" t="s">
        <v>348</v>
      </c>
      <c r="E4" s="2" t="s">
        <v>349</v>
      </c>
      <c r="F4" s="2" t="s">
        <v>350</v>
      </c>
    </row>
    <row r="5" spans="1:6" ht="24" customHeight="1" x14ac:dyDescent="0.45">
      <c r="A5" s="2" t="str">
        <f t="shared" si="0"/>
        <v>T2_IWT</v>
      </c>
      <c r="B5" s="2" t="s">
        <v>319</v>
      </c>
      <c r="C5" s="2" t="s">
        <v>340</v>
      </c>
      <c r="D5" s="2" t="s">
        <v>343</v>
      </c>
      <c r="E5" s="2" t="s">
        <v>351</v>
      </c>
      <c r="F5" s="2" t="s">
        <v>344</v>
      </c>
    </row>
    <row r="6" spans="1:6" ht="24" customHeight="1" x14ac:dyDescent="0.45">
      <c r="A6" s="2" t="str">
        <f t="shared" si="0"/>
        <v>T2_RAIL</v>
      </c>
      <c r="B6" s="2" t="s">
        <v>319</v>
      </c>
      <c r="C6" s="2" t="s">
        <v>337</v>
      </c>
      <c r="D6" s="2" t="s">
        <v>349</v>
      </c>
      <c r="E6" s="2" t="s">
        <v>352</v>
      </c>
      <c r="F6" s="2" t="s">
        <v>347</v>
      </c>
    </row>
    <row r="7" spans="1:6" ht="24" customHeight="1" x14ac:dyDescent="0.45">
      <c r="A7" s="2" t="str">
        <f t="shared" si="0"/>
        <v>T2_ROAD</v>
      </c>
      <c r="B7" s="2" t="s">
        <v>319</v>
      </c>
      <c r="C7" s="2" t="s">
        <v>334</v>
      </c>
      <c r="D7" s="2" t="s">
        <v>349</v>
      </c>
      <c r="E7" s="2" t="s">
        <v>352</v>
      </c>
      <c r="F7" s="2" t="s">
        <v>350</v>
      </c>
    </row>
    <row r="8" spans="1:6" ht="24" customHeight="1" x14ac:dyDescent="0.45">
      <c r="A8" s="2" t="str">
        <f t="shared" si="0"/>
        <v>T3_IWT</v>
      </c>
      <c r="B8" s="2" t="s">
        <v>322</v>
      </c>
      <c r="C8" s="2" t="s">
        <v>340</v>
      </c>
      <c r="D8" s="2" t="s">
        <v>351</v>
      </c>
      <c r="E8" s="2" t="s">
        <v>353</v>
      </c>
      <c r="F8" s="2" t="s">
        <v>344</v>
      </c>
    </row>
    <row r="9" spans="1:6" ht="24" customHeight="1" x14ac:dyDescent="0.45">
      <c r="A9" s="2" t="str">
        <f t="shared" si="0"/>
        <v>T3_RAIL</v>
      </c>
      <c r="B9" s="2" t="s">
        <v>322</v>
      </c>
      <c r="C9" s="2" t="s">
        <v>337</v>
      </c>
      <c r="D9" s="2" t="s">
        <v>352</v>
      </c>
      <c r="E9" s="2" t="s">
        <v>354</v>
      </c>
      <c r="F9" s="2" t="s">
        <v>347</v>
      </c>
    </row>
    <row r="10" spans="1:6" ht="24" customHeight="1" x14ac:dyDescent="0.45">
      <c r="A10" s="2" t="str">
        <f t="shared" si="0"/>
        <v>T3_ROAD</v>
      </c>
      <c r="B10" s="2" t="s">
        <v>322</v>
      </c>
      <c r="C10" s="2" t="s">
        <v>334</v>
      </c>
      <c r="D10" s="2" t="s">
        <v>352</v>
      </c>
      <c r="E10" s="2" t="s">
        <v>354</v>
      </c>
      <c r="F10" s="2" t="s">
        <v>350</v>
      </c>
    </row>
    <row r="11" spans="1:6" ht="24" customHeight="1" x14ac:dyDescent="0.45">
      <c r="A11" s="2" t="str">
        <f t="shared" si="0"/>
        <v>T4_IWT</v>
      </c>
      <c r="B11" s="2" t="s">
        <v>325</v>
      </c>
      <c r="C11" s="2" t="s">
        <v>340</v>
      </c>
      <c r="D11" s="2" t="s">
        <v>353</v>
      </c>
      <c r="E11" s="2" t="s">
        <v>355</v>
      </c>
      <c r="F11" s="2" t="s">
        <v>344</v>
      </c>
    </row>
    <row r="12" spans="1:6" ht="24" customHeight="1" x14ac:dyDescent="0.45">
      <c r="A12" s="2" t="str">
        <f t="shared" si="0"/>
        <v>T4_RAIL</v>
      </c>
      <c r="B12" s="2" t="s">
        <v>325</v>
      </c>
      <c r="C12" s="2" t="s">
        <v>337</v>
      </c>
      <c r="D12" s="2" t="s">
        <v>354</v>
      </c>
      <c r="E12" s="2" t="s">
        <v>356</v>
      </c>
      <c r="F12" s="2" t="s">
        <v>347</v>
      </c>
    </row>
    <row r="13" spans="1:6" ht="24" customHeight="1" x14ac:dyDescent="0.45">
      <c r="A13" s="2" t="str">
        <f t="shared" si="0"/>
        <v>T4_ROAD</v>
      </c>
      <c r="B13" s="2" t="s">
        <v>325</v>
      </c>
      <c r="C13" s="2" t="s">
        <v>334</v>
      </c>
      <c r="D13" s="2" t="s">
        <v>357</v>
      </c>
      <c r="E13" s="2" t="s">
        <v>356</v>
      </c>
      <c r="F13" s="2" t="s">
        <v>350</v>
      </c>
    </row>
    <row r="14" spans="1:6" ht="24" customHeight="1" x14ac:dyDescent="0.45">
      <c r="A14" s="2" t="str">
        <f t="shared" si="0"/>
        <v>T5_IWT</v>
      </c>
      <c r="B14" s="2" t="s">
        <v>328</v>
      </c>
      <c r="C14" s="2" t="s">
        <v>340</v>
      </c>
      <c r="D14" s="2" t="s">
        <v>355</v>
      </c>
      <c r="E14" s="2" t="s">
        <v>358</v>
      </c>
      <c r="F14" s="2" t="s">
        <v>344</v>
      </c>
    </row>
    <row r="15" spans="1:6" ht="24" customHeight="1" x14ac:dyDescent="0.45">
      <c r="A15" s="2" t="str">
        <f t="shared" si="0"/>
        <v>T5_RAIL</v>
      </c>
      <c r="B15" s="2" t="s">
        <v>328</v>
      </c>
      <c r="C15" s="2" t="s">
        <v>337</v>
      </c>
      <c r="D15" s="2" t="s">
        <v>359</v>
      </c>
      <c r="E15" s="2" t="s">
        <v>360</v>
      </c>
      <c r="F15" s="2" t="s">
        <v>347</v>
      </c>
    </row>
    <row r="16" spans="1:6" ht="24" customHeight="1" x14ac:dyDescent="0.45">
      <c r="A16" s="2" t="str">
        <f t="shared" si="0"/>
        <v>T5_ROAD</v>
      </c>
      <c r="B16" s="2" t="s">
        <v>328</v>
      </c>
      <c r="C16" s="2" t="s">
        <v>334</v>
      </c>
      <c r="D16" s="2" t="s">
        <v>359</v>
      </c>
      <c r="E16" s="2" t="s">
        <v>360</v>
      </c>
      <c r="F16" s="2" t="s">
        <v>350</v>
      </c>
    </row>
    <row r="17" spans="1:6" ht="24" customHeight="1" x14ac:dyDescent="0.45">
      <c r="A17" s="2" t="str">
        <f t="shared" si="0"/>
        <v>T6_IWT</v>
      </c>
      <c r="B17" s="2" t="s">
        <v>331</v>
      </c>
      <c r="C17" s="2" t="s">
        <v>340</v>
      </c>
      <c r="D17" s="2" t="s">
        <v>358</v>
      </c>
      <c r="E17" s="2" t="s">
        <v>361</v>
      </c>
      <c r="F17" s="2" t="s">
        <v>344</v>
      </c>
    </row>
    <row r="18" spans="1:6" ht="24" customHeight="1" x14ac:dyDescent="0.45">
      <c r="A18" s="2" t="str">
        <f t="shared" si="0"/>
        <v>T6_RAIL</v>
      </c>
      <c r="B18" s="2" t="s">
        <v>331</v>
      </c>
      <c r="C18" s="2" t="s">
        <v>337</v>
      </c>
      <c r="D18" s="2" t="s">
        <v>362</v>
      </c>
      <c r="E18" s="2" t="s">
        <v>363</v>
      </c>
      <c r="F18" s="2" t="s">
        <v>347</v>
      </c>
    </row>
    <row r="19" spans="1:6" ht="24" customHeight="1" x14ac:dyDescent="0.45">
      <c r="A19" s="2" t="str">
        <f t="shared" si="0"/>
        <v>T6_ROAD</v>
      </c>
      <c r="B19" s="2" t="s">
        <v>331</v>
      </c>
      <c r="C19" s="2" t="s">
        <v>334</v>
      </c>
      <c r="D19" s="2" t="s">
        <v>362</v>
      </c>
      <c r="E19" s="2" t="s">
        <v>363</v>
      </c>
      <c r="F19" s="2" t="s">
        <v>350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AA19"/>
  <sheetViews>
    <sheetView showGridLines="0" workbookViewId="0">
      <selection activeCell="E11" sqref="E11"/>
    </sheetView>
  </sheetViews>
  <sheetFormatPr defaultRowHeight="14.25" x14ac:dyDescent="0.45"/>
  <cols>
    <col min="1" max="1" width="18" customWidth="1"/>
    <col min="2" max="2" width="13" customWidth="1"/>
    <col min="3" max="3" width="16" customWidth="1"/>
    <col min="4" max="5" width="12" customWidth="1"/>
    <col min="6" max="6" width="13" customWidth="1"/>
    <col min="7" max="8" width="21" customWidth="1"/>
    <col min="9" max="9" width="19" customWidth="1"/>
    <col min="10" max="10" width="20" customWidth="1"/>
    <col min="11" max="12" width="25" customWidth="1"/>
    <col min="13" max="13" width="18" customWidth="1"/>
    <col min="14" max="14" width="23" customWidth="1"/>
    <col min="15" max="15" width="24" customWidth="1"/>
    <col min="16" max="16" width="14" customWidth="1"/>
    <col min="17" max="17" width="16" customWidth="1"/>
    <col min="18" max="18" width="25" customWidth="1"/>
    <col min="19" max="19" width="19" customWidth="1"/>
    <col min="20" max="21" width="26" customWidth="1"/>
    <col min="22" max="22" width="23" customWidth="1"/>
    <col min="23" max="23" width="27" customWidth="1"/>
    <col min="24" max="24" width="26" customWidth="1"/>
    <col min="25" max="25" width="21" customWidth="1"/>
    <col min="26" max="26" width="20" customWidth="1"/>
    <col min="27" max="27" width="22" customWidth="1"/>
  </cols>
  <sheetData>
    <row r="1" spans="1:27" ht="28.5" x14ac:dyDescent="0.45">
      <c r="A1" s="3" t="s">
        <v>192</v>
      </c>
      <c r="B1" s="3" t="s">
        <v>152</v>
      </c>
      <c r="C1" s="3" t="s">
        <v>155</v>
      </c>
      <c r="D1" s="3" t="s">
        <v>172</v>
      </c>
      <c r="E1" s="3" t="s">
        <v>174</v>
      </c>
      <c r="F1" s="3" t="s">
        <v>208</v>
      </c>
      <c r="G1" s="3" t="s">
        <v>210</v>
      </c>
      <c r="H1" s="3" t="s">
        <v>212</v>
      </c>
      <c r="I1" s="3" t="s">
        <v>214</v>
      </c>
      <c r="J1" s="3" t="s">
        <v>216</v>
      </c>
      <c r="K1" s="3" t="s">
        <v>218</v>
      </c>
      <c r="L1" s="3" t="s">
        <v>220</v>
      </c>
      <c r="M1" s="3" t="s">
        <v>222</v>
      </c>
      <c r="N1" s="3" t="s">
        <v>223</v>
      </c>
      <c r="O1" s="3" t="s">
        <v>225</v>
      </c>
      <c r="P1" s="3" t="s">
        <v>227</v>
      </c>
      <c r="Q1" s="3" t="s">
        <v>229</v>
      </c>
      <c r="R1" s="11" t="s">
        <v>231</v>
      </c>
      <c r="S1" s="3" t="s">
        <v>233</v>
      </c>
      <c r="T1" s="3" t="s">
        <v>235</v>
      </c>
      <c r="U1" s="3" t="s">
        <v>237</v>
      </c>
      <c r="V1" s="3" t="s">
        <v>239</v>
      </c>
      <c r="W1" s="3" t="s">
        <v>241</v>
      </c>
      <c r="X1" s="3" t="s">
        <v>243</v>
      </c>
      <c r="Y1" s="3" t="s">
        <v>245</v>
      </c>
      <c r="Z1" s="3" t="s">
        <v>247</v>
      </c>
      <c r="AA1" s="3" t="s">
        <v>249</v>
      </c>
    </row>
    <row r="2" spans="1:27" x14ac:dyDescent="0.45">
      <c r="A2" s="2" t="str">
        <f t="shared" ref="A2:A19" si="0">B2&amp;"_"&amp;D2</f>
        <v>T1_ROAD</v>
      </c>
      <c r="B2" s="2" t="s">
        <v>313</v>
      </c>
      <c r="C2" s="2">
        <v>1</v>
      </c>
      <c r="D2" s="2" t="s">
        <v>334</v>
      </c>
      <c r="E2" s="2">
        <v>1</v>
      </c>
      <c r="F2" s="10">
        <v>149.79</v>
      </c>
      <c r="G2" s="10">
        <v>0.24</v>
      </c>
      <c r="H2" s="10">
        <v>0.24</v>
      </c>
      <c r="I2" s="10">
        <v>66.760130849856466</v>
      </c>
      <c r="J2" s="10">
        <v>66.760130849856466</v>
      </c>
      <c r="K2" s="10">
        <f t="shared" ref="K2:K19" si="1">I2</f>
        <v>66.760130849856466</v>
      </c>
      <c r="L2" s="10">
        <f t="shared" ref="L2:L19" si="2">J2</f>
        <v>66.760130849856466</v>
      </c>
      <c r="M2" s="10">
        <v>0.09</v>
      </c>
      <c r="N2" s="5">
        <f t="shared" ref="N2:N19" si="3">M2*1000</f>
        <v>90</v>
      </c>
      <c r="O2" s="9">
        <v>0</v>
      </c>
      <c r="P2" s="9">
        <v>70</v>
      </c>
      <c r="Q2" s="4">
        <v>0.5</v>
      </c>
      <c r="R2" s="9">
        <v>24</v>
      </c>
      <c r="S2" s="10">
        <v>3594.96</v>
      </c>
      <c r="T2" s="10">
        <v>240</v>
      </c>
      <c r="U2" s="10">
        <v>240</v>
      </c>
      <c r="V2" s="10">
        <v>2.9965000000000002</v>
      </c>
      <c r="W2" s="5">
        <v>323.54640000000001</v>
      </c>
      <c r="X2" s="5">
        <v>0</v>
      </c>
      <c r="Y2" s="5">
        <v>19.2</v>
      </c>
      <c r="Z2" s="5">
        <v>342.74639999999999</v>
      </c>
      <c r="AA2" s="6">
        <f t="shared" ref="AA2:AA19" si="4">IFERROR(Y2/Z2,0)</f>
        <v>5.6018093844311709E-2</v>
      </c>
    </row>
    <row r="3" spans="1:27" x14ac:dyDescent="0.45">
      <c r="A3" s="2" t="str">
        <f t="shared" si="0"/>
        <v>T2_ROAD</v>
      </c>
      <c r="B3" s="2" t="s">
        <v>319</v>
      </c>
      <c r="C3" s="2">
        <v>2</v>
      </c>
      <c r="D3" s="2" t="s">
        <v>334</v>
      </c>
      <c r="E3" s="2">
        <v>1</v>
      </c>
      <c r="F3" s="10">
        <v>264.2</v>
      </c>
      <c r="G3" s="10">
        <v>0.47999999999999993</v>
      </c>
      <c r="H3" s="10">
        <v>0.47999999999999993</v>
      </c>
      <c r="I3" s="10">
        <v>75.700227100681303</v>
      </c>
      <c r="J3" s="10">
        <v>75.700227100681303</v>
      </c>
      <c r="K3" s="10">
        <f t="shared" si="1"/>
        <v>75.700227100681303</v>
      </c>
      <c r="L3" s="10">
        <f t="shared" si="2"/>
        <v>75.700227100681303</v>
      </c>
      <c r="M3" s="10">
        <v>0.09</v>
      </c>
      <c r="N3" s="5">
        <f t="shared" si="3"/>
        <v>90</v>
      </c>
      <c r="O3" s="9">
        <v>0</v>
      </c>
      <c r="P3" s="9">
        <v>70</v>
      </c>
      <c r="Q3" s="4">
        <v>0.5</v>
      </c>
      <c r="R3" s="9">
        <v>24</v>
      </c>
      <c r="S3" s="10">
        <v>6340.7999999999993</v>
      </c>
      <c r="T3" s="10">
        <v>479.99999999999989</v>
      </c>
      <c r="U3" s="10">
        <v>479.99999999999989</v>
      </c>
      <c r="V3" s="10">
        <v>4.9033333333333333</v>
      </c>
      <c r="W3" s="5">
        <v>570.67199999999991</v>
      </c>
      <c r="X3" s="5">
        <v>0</v>
      </c>
      <c r="Y3" s="5">
        <v>38.399999999999991</v>
      </c>
      <c r="Z3" s="5">
        <v>609.07199999999989</v>
      </c>
      <c r="AA3" s="6">
        <f t="shared" si="4"/>
        <v>6.3046733391126167E-2</v>
      </c>
    </row>
    <row r="4" spans="1:27" x14ac:dyDescent="0.45">
      <c r="A4" s="2" t="str">
        <f t="shared" si="0"/>
        <v>T3_ROAD</v>
      </c>
      <c r="B4" s="2" t="s">
        <v>322</v>
      </c>
      <c r="C4" s="2">
        <v>3</v>
      </c>
      <c r="D4" s="2" t="s">
        <v>334</v>
      </c>
      <c r="E4" s="2">
        <v>1</v>
      </c>
      <c r="F4" s="10">
        <v>65.11</v>
      </c>
      <c r="G4" s="10">
        <v>0.12</v>
      </c>
      <c r="H4" s="10">
        <v>9.6000000000000002E-2</v>
      </c>
      <c r="I4" s="10">
        <v>76.793119336507445</v>
      </c>
      <c r="J4" s="10">
        <v>61.434495469205963</v>
      </c>
      <c r="K4" s="10">
        <f t="shared" si="1"/>
        <v>76.793119336507445</v>
      </c>
      <c r="L4" s="10">
        <f t="shared" si="2"/>
        <v>61.434495469205963</v>
      </c>
      <c r="M4" s="10">
        <v>0.09</v>
      </c>
      <c r="N4" s="5">
        <f t="shared" si="3"/>
        <v>90</v>
      </c>
      <c r="O4" s="9">
        <v>0</v>
      </c>
      <c r="P4" s="9">
        <v>70</v>
      </c>
      <c r="Q4" s="4">
        <v>0.5</v>
      </c>
      <c r="R4" s="9">
        <v>24</v>
      </c>
      <c r="S4" s="10">
        <v>1562.64</v>
      </c>
      <c r="T4" s="10">
        <v>120</v>
      </c>
      <c r="U4" s="10">
        <v>96</v>
      </c>
      <c r="V4" s="10">
        <v>1.5851666666666671</v>
      </c>
      <c r="W4" s="5">
        <v>140.63759999999999</v>
      </c>
      <c r="X4" s="5">
        <v>0</v>
      </c>
      <c r="Y4" s="5">
        <v>9.5999999999999979</v>
      </c>
      <c r="Z4" s="5">
        <v>150.23759999999999</v>
      </c>
      <c r="AA4" s="6">
        <f t="shared" si="4"/>
        <v>6.3898784325628191E-2</v>
      </c>
    </row>
    <row r="5" spans="1:27" x14ac:dyDescent="0.45">
      <c r="A5" s="2" t="str">
        <f t="shared" si="0"/>
        <v>T4_ROAD</v>
      </c>
      <c r="B5" s="2" t="s">
        <v>325</v>
      </c>
      <c r="C5" s="2">
        <v>4</v>
      </c>
      <c r="D5" s="2" t="s">
        <v>334</v>
      </c>
      <c r="E5" s="2">
        <v>1</v>
      </c>
      <c r="F5" s="10">
        <v>185.1</v>
      </c>
      <c r="G5" s="10">
        <v>0.24</v>
      </c>
      <c r="H5" s="10">
        <v>0.24</v>
      </c>
      <c r="I5" s="10">
        <v>54.024851431658561</v>
      </c>
      <c r="J5" s="10">
        <v>54.024851431658561</v>
      </c>
      <c r="K5" s="10">
        <f t="shared" si="1"/>
        <v>54.024851431658561</v>
      </c>
      <c r="L5" s="10">
        <f t="shared" si="2"/>
        <v>54.024851431658561</v>
      </c>
      <c r="M5" s="10">
        <v>0.09</v>
      </c>
      <c r="N5" s="5">
        <f t="shared" si="3"/>
        <v>90</v>
      </c>
      <c r="O5" s="9">
        <v>0</v>
      </c>
      <c r="P5" s="9">
        <v>70</v>
      </c>
      <c r="Q5" s="4">
        <v>0.5</v>
      </c>
      <c r="R5" s="9">
        <v>24</v>
      </c>
      <c r="S5" s="10">
        <v>4442.3999999999996</v>
      </c>
      <c r="T5" s="10">
        <v>240</v>
      </c>
      <c r="U5" s="10">
        <v>240</v>
      </c>
      <c r="V5" s="10">
        <v>3.585</v>
      </c>
      <c r="W5" s="5">
        <v>399.81599999999997</v>
      </c>
      <c r="X5" s="5">
        <v>0</v>
      </c>
      <c r="Y5" s="5">
        <v>19.2</v>
      </c>
      <c r="Z5" s="5">
        <v>419.01600000000002</v>
      </c>
      <c r="AA5" s="6">
        <f t="shared" si="4"/>
        <v>4.582163926914485E-2</v>
      </c>
    </row>
    <row r="6" spans="1:27" x14ac:dyDescent="0.45">
      <c r="A6" s="2" t="str">
        <f t="shared" si="0"/>
        <v>T5_ROAD</v>
      </c>
      <c r="B6" s="2" t="s">
        <v>328</v>
      </c>
      <c r="C6" s="2">
        <v>5</v>
      </c>
      <c r="D6" s="2" t="s">
        <v>334</v>
      </c>
      <c r="E6" s="2">
        <v>1</v>
      </c>
      <c r="F6" s="10">
        <v>77.09</v>
      </c>
      <c r="G6" s="10">
        <v>0.14399999999999999</v>
      </c>
      <c r="H6" s="10">
        <v>0.12</v>
      </c>
      <c r="I6" s="10">
        <v>77.831106498897384</v>
      </c>
      <c r="J6" s="10">
        <v>64.859255415747825</v>
      </c>
      <c r="K6" s="10">
        <f t="shared" si="1"/>
        <v>77.831106498897384</v>
      </c>
      <c r="L6" s="10">
        <f t="shared" si="2"/>
        <v>64.859255415747825</v>
      </c>
      <c r="M6" s="10">
        <v>0.09</v>
      </c>
      <c r="N6" s="5">
        <f t="shared" si="3"/>
        <v>90</v>
      </c>
      <c r="O6" s="9">
        <v>0</v>
      </c>
      <c r="P6" s="9">
        <v>70</v>
      </c>
      <c r="Q6" s="4">
        <v>0.5</v>
      </c>
      <c r="R6" s="9">
        <v>24</v>
      </c>
      <c r="S6" s="10">
        <v>1850.16</v>
      </c>
      <c r="T6" s="10">
        <v>144</v>
      </c>
      <c r="U6" s="10">
        <v>120</v>
      </c>
      <c r="V6" s="10">
        <v>1.784833333333333</v>
      </c>
      <c r="W6" s="5">
        <v>166.51439999999999</v>
      </c>
      <c r="X6" s="5">
        <v>0</v>
      </c>
      <c r="Y6" s="5">
        <v>11.52</v>
      </c>
      <c r="Z6" s="5">
        <v>178.03440000000001</v>
      </c>
      <c r="AA6" s="6">
        <f t="shared" si="4"/>
        <v>6.4706596028632671E-2</v>
      </c>
    </row>
    <row r="7" spans="1:27" x14ac:dyDescent="0.45">
      <c r="A7" s="2" t="str">
        <f t="shared" si="0"/>
        <v>T6_ROAD</v>
      </c>
      <c r="B7" s="2" t="s">
        <v>331</v>
      </c>
      <c r="C7" s="2">
        <v>6</v>
      </c>
      <c r="D7" s="2" t="s">
        <v>334</v>
      </c>
      <c r="E7" s="2">
        <v>1</v>
      </c>
      <c r="F7" s="10">
        <v>250.22</v>
      </c>
      <c r="G7" s="10">
        <v>0.47999999999999993</v>
      </c>
      <c r="H7" s="10">
        <v>0.47999999999999993</v>
      </c>
      <c r="I7" s="10">
        <v>79.929661897530167</v>
      </c>
      <c r="J7" s="10">
        <v>79.929661897530167</v>
      </c>
      <c r="K7" s="10">
        <f t="shared" si="1"/>
        <v>79.929661897530167</v>
      </c>
      <c r="L7" s="10">
        <f t="shared" si="2"/>
        <v>79.929661897530167</v>
      </c>
      <c r="M7" s="10">
        <v>0.09</v>
      </c>
      <c r="N7" s="5">
        <f t="shared" si="3"/>
        <v>90</v>
      </c>
      <c r="O7" s="9">
        <v>0</v>
      </c>
      <c r="P7" s="9">
        <v>70</v>
      </c>
      <c r="Q7" s="4">
        <v>0.5</v>
      </c>
      <c r="R7" s="9">
        <v>24</v>
      </c>
      <c r="S7" s="10">
        <v>6005.28</v>
      </c>
      <c r="T7" s="10">
        <v>479.99999999999989</v>
      </c>
      <c r="U7" s="10">
        <v>479.99999999999989</v>
      </c>
      <c r="V7" s="10">
        <v>4.6703333333333337</v>
      </c>
      <c r="W7" s="5">
        <v>540.47519999999997</v>
      </c>
      <c r="X7" s="5">
        <v>0</v>
      </c>
      <c r="Y7" s="5">
        <v>38.399999999999991</v>
      </c>
      <c r="Z7" s="5">
        <v>578.87519999999995</v>
      </c>
      <c r="AA7" s="6">
        <f t="shared" si="4"/>
        <v>6.6335541754077548E-2</v>
      </c>
    </row>
    <row r="8" spans="1:27" x14ac:dyDescent="0.45">
      <c r="A8" s="2" t="str">
        <f t="shared" si="0"/>
        <v>T1_RAIL</v>
      </c>
      <c r="B8" s="2" t="s">
        <v>313</v>
      </c>
      <c r="C8" s="2">
        <v>1</v>
      </c>
      <c r="D8" s="2" t="s">
        <v>337</v>
      </c>
      <c r="E8" s="2">
        <v>2</v>
      </c>
      <c r="F8" s="10">
        <v>178.39</v>
      </c>
      <c r="G8" s="10">
        <v>1.56</v>
      </c>
      <c r="H8" s="10">
        <v>0.1039999999999999</v>
      </c>
      <c r="I8" s="10">
        <v>16.817086159538089</v>
      </c>
      <c r="J8" s="10">
        <v>1.1211390773025389</v>
      </c>
      <c r="K8" s="10">
        <f t="shared" si="1"/>
        <v>16.817086159538089</v>
      </c>
      <c r="L8" s="10">
        <f t="shared" si="2"/>
        <v>1.1211390773025389</v>
      </c>
      <c r="M8" s="10">
        <v>0.05</v>
      </c>
      <c r="N8" s="5">
        <f t="shared" si="3"/>
        <v>50</v>
      </c>
      <c r="O8" s="9">
        <v>4</v>
      </c>
      <c r="P8" s="9">
        <v>35</v>
      </c>
      <c r="Q8" s="4">
        <v>4</v>
      </c>
      <c r="R8" s="9">
        <v>520</v>
      </c>
      <c r="S8" s="10">
        <v>92762.799999999988</v>
      </c>
      <c r="T8" s="10">
        <v>1560</v>
      </c>
      <c r="U8" s="10">
        <v>103.9999999999999</v>
      </c>
      <c r="V8" s="10">
        <v>9.096857142857143</v>
      </c>
      <c r="W8" s="5">
        <v>4638.1399999999994</v>
      </c>
      <c r="X8" s="5">
        <v>2080</v>
      </c>
      <c r="Y8" s="5">
        <v>124.8</v>
      </c>
      <c r="Z8" s="5">
        <v>6842.94</v>
      </c>
      <c r="AA8" s="6">
        <f t="shared" si="4"/>
        <v>1.8237774991451045E-2</v>
      </c>
    </row>
    <row r="9" spans="1:27" x14ac:dyDescent="0.45">
      <c r="A9" s="2" t="str">
        <f t="shared" si="0"/>
        <v>T2_RAIL</v>
      </c>
      <c r="B9" s="2" t="s">
        <v>319</v>
      </c>
      <c r="C9" s="2">
        <v>2</v>
      </c>
      <c r="D9" s="2" t="s">
        <v>337</v>
      </c>
      <c r="E9" s="2">
        <v>2</v>
      </c>
      <c r="F9" s="10">
        <v>260.92</v>
      </c>
      <c r="G9" s="10">
        <v>2.08</v>
      </c>
      <c r="H9" s="10">
        <v>0.13866666666666669</v>
      </c>
      <c r="I9" s="10">
        <v>15.330369461904031</v>
      </c>
      <c r="J9" s="10">
        <v>1.0220246307936021</v>
      </c>
      <c r="K9" s="10">
        <f t="shared" si="1"/>
        <v>15.330369461904031</v>
      </c>
      <c r="L9" s="10">
        <f t="shared" si="2"/>
        <v>1.0220246307936021</v>
      </c>
      <c r="M9" s="10">
        <v>0.05</v>
      </c>
      <c r="N9" s="5">
        <f t="shared" si="3"/>
        <v>50</v>
      </c>
      <c r="O9" s="9">
        <v>4</v>
      </c>
      <c r="P9" s="9">
        <v>35</v>
      </c>
      <c r="Q9" s="4">
        <v>4</v>
      </c>
      <c r="R9" s="9">
        <v>520</v>
      </c>
      <c r="S9" s="10">
        <v>135678.39999999999</v>
      </c>
      <c r="T9" s="10">
        <v>2080</v>
      </c>
      <c r="U9" s="10">
        <v>138.66666666666671</v>
      </c>
      <c r="V9" s="10">
        <v>11.45485714285714</v>
      </c>
      <c r="W9" s="5">
        <v>6783.92</v>
      </c>
      <c r="X9" s="5">
        <v>2080</v>
      </c>
      <c r="Y9" s="5">
        <v>166.4</v>
      </c>
      <c r="Z9" s="5">
        <v>9030.32</v>
      </c>
      <c r="AA9" s="6">
        <f t="shared" si="4"/>
        <v>1.842681101001958E-2</v>
      </c>
    </row>
    <row r="10" spans="1:27" x14ac:dyDescent="0.45">
      <c r="A10" s="2" t="str">
        <f t="shared" si="0"/>
        <v>T3_RAIL</v>
      </c>
      <c r="B10" s="2" t="s">
        <v>322</v>
      </c>
      <c r="C10" s="2">
        <v>3</v>
      </c>
      <c r="D10" s="2" t="s">
        <v>337</v>
      </c>
      <c r="E10" s="2">
        <v>2</v>
      </c>
      <c r="F10" s="10">
        <v>62.6</v>
      </c>
      <c r="G10" s="10">
        <v>0.46800000000000003</v>
      </c>
      <c r="H10" s="10">
        <v>3.1199999999999999E-2</v>
      </c>
      <c r="I10" s="10">
        <v>14.376996805111821</v>
      </c>
      <c r="J10" s="10">
        <v>0.95846645367412142</v>
      </c>
      <c r="K10" s="10">
        <f t="shared" si="1"/>
        <v>14.376996805111821</v>
      </c>
      <c r="L10" s="10">
        <f t="shared" si="2"/>
        <v>0.95846645367412142</v>
      </c>
      <c r="M10" s="10">
        <v>0.05</v>
      </c>
      <c r="N10" s="5">
        <f t="shared" si="3"/>
        <v>50</v>
      </c>
      <c r="O10" s="9">
        <v>4</v>
      </c>
      <c r="P10" s="9">
        <v>35</v>
      </c>
      <c r="Q10" s="4">
        <v>4</v>
      </c>
      <c r="R10" s="9">
        <v>520</v>
      </c>
      <c r="S10" s="10">
        <v>32552</v>
      </c>
      <c r="T10" s="10">
        <v>468</v>
      </c>
      <c r="U10" s="10">
        <v>31.2</v>
      </c>
      <c r="V10" s="10">
        <v>5.7885714285714283</v>
      </c>
      <c r="W10" s="5">
        <v>1627.6</v>
      </c>
      <c r="X10" s="5">
        <v>2080</v>
      </c>
      <c r="Y10" s="5">
        <v>37.44</v>
      </c>
      <c r="Z10" s="5">
        <v>3745.04</v>
      </c>
      <c r="AA10" s="6">
        <f t="shared" si="4"/>
        <v>9.9972229936128847E-3</v>
      </c>
    </row>
    <row r="11" spans="1:27" x14ac:dyDescent="0.45">
      <c r="A11" s="2" t="str">
        <f t="shared" si="0"/>
        <v>T4_RAIL</v>
      </c>
      <c r="B11" s="2" t="s">
        <v>325</v>
      </c>
      <c r="C11" s="2">
        <v>4</v>
      </c>
      <c r="D11" s="2" t="s">
        <v>337</v>
      </c>
      <c r="E11" s="2">
        <v>2</v>
      </c>
      <c r="F11" s="10">
        <v>177.69</v>
      </c>
      <c r="G11" s="10">
        <v>1.56</v>
      </c>
      <c r="H11" s="10">
        <v>0.10400000000000011</v>
      </c>
      <c r="I11" s="10">
        <v>16.883336147222689</v>
      </c>
      <c r="J11" s="10">
        <v>1.12555574314818</v>
      </c>
      <c r="K11" s="10">
        <f t="shared" si="1"/>
        <v>16.883336147222689</v>
      </c>
      <c r="L11" s="10">
        <f t="shared" si="2"/>
        <v>1.12555574314818</v>
      </c>
      <c r="M11" s="10">
        <v>0.05</v>
      </c>
      <c r="N11" s="5">
        <f t="shared" si="3"/>
        <v>50</v>
      </c>
      <c r="O11" s="9">
        <v>4</v>
      </c>
      <c r="P11" s="9">
        <v>35</v>
      </c>
      <c r="Q11" s="4">
        <v>4</v>
      </c>
      <c r="R11" s="9">
        <v>520</v>
      </c>
      <c r="S11" s="10">
        <v>92398.8</v>
      </c>
      <c r="T11" s="10">
        <v>1560</v>
      </c>
      <c r="U11" s="10">
        <v>104.0000000000001</v>
      </c>
      <c r="V11" s="10">
        <v>9.0768571428571434</v>
      </c>
      <c r="W11" s="5">
        <v>4619.9400000000014</v>
      </c>
      <c r="X11" s="5">
        <v>2080</v>
      </c>
      <c r="Y11" s="5">
        <v>124.8</v>
      </c>
      <c r="Z11" s="5">
        <v>6824.7400000000007</v>
      </c>
      <c r="AA11" s="6">
        <f t="shared" si="4"/>
        <v>1.8286410910891841E-2</v>
      </c>
    </row>
    <row r="12" spans="1:27" x14ac:dyDescent="0.45">
      <c r="A12" s="2" t="str">
        <f t="shared" si="0"/>
        <v>T5_RAIL</v>
      </c>
      <c r="B12" s="2" t="s">
        <v>328</v>
      </c>
      <c r="C12" s="2">
        <v>5</v>
      </c>
      <c r="D12" s="2" t="s">
        <v>337</v>
      </c>
      <c r="E12" s="2">
        <v>2</v>
      </c>
      <c r="F12" s="10">
        <v>79.349999999999994</v>
      </c>
      <c r="G12" s="10">
        <v>0.52</v>
      </c>
      <c r="H12" s="10">
        <v>3.4666666666666672E-2</v>
      </c>
      <c r="I12" s="10">
        <v>12.60239445494644</v>
      </c>
      <c r="J12" s="10">
        <v>0.84015963032976271</v>
      </c>
      <c r="K12" s="10">
        <f t="shared" si="1"/>
        <v>12.60239445494644</v>
      </c>
      <c r="L12" s="10">
        <f t="shared" si="2"/>
        <v>0.84015963032976271</v>
      </c>
      <c r="M12" s="10">
        <v>0.05</v>
      </c>
      <c r="N12" s="5">
        <f t="shared" si="3"/>
        <v>50</v>
      </c>
      <c r="O12" s="9">
        <v>4</v>
      </c>
      <c r="P12" s="9">
        <v>35</v>
      </c>
      <c r="Q12" s="4">
        <v>4</v>
      </c>
      <c r="R12" s="9">
        <v>520</v>
      </c>
      <c r="S12" s="10">
        <v>41262</v>
      </c>
      <c r="T12" s="10">
        <v>520</v>
      </c>
      <c r="U12" s="10">
        <v>34.666666666666671</v>
      </c>
      <c r="V12" s="10">
        <v>6.2671428571428569</v>
      </c>
      <c r="W12" s="5">
        <v>2063.1</v>
      </c>
      <c r="X12" s="5">
        <v>2080</v>
      </c>
      <c r="Y12" s="5">
        <v>41.6</v>
      </c>
      <c r="Z12" s="5">
        <v>4184.7000000000007</v>
      </c>
      <c r="AA12" s="6">
        <f t="shared" si="4"/>
        <v>9.9409754582168355E-3</v>
      </c>
    </row>
    <row r="13" spans="1:27" x14ac:dyDescent="0.45">
      <c r="A13" s="2" t="str">
        <f t="shared" si="0"/>
        <v>T6_RAIL</v>
      </c>
      <c r="B13" s="2" t="s">
        <v>331</v>
      </c>
      <c r="C13" s="2">
        <v>6</v>
      </c>
      <c r="D13" s="2" t="s">
        <v>337</v>
      </c>
      <c r="E13" s="2">
        <v>2</v>
      </c>
      <c r="F13" s="10">
        <v>249.84</v>
      </c>
      <c r="G13" s="10">
        <v>2.08</v>
      </c>
      <c r="H13" s="10">
        <v>0.1386666666666666</v>
      </c>
      <c r="I13" s="10">
        <v>16.010246557796989</v>
      </c>
      <c r="J13" s="10">
        <v>1.067349770519799</v>
      </c>
      <c r="K13" s="10">
        <f t="shared" si="1"/>
        <v>16.010246557796989</v>
      </c>
      <c r="L13" s="10">
        <f t="shared" si="2"/>
        <v>1.067349770519799</v>
      </c>
      <c r="M13" s="10">
        <v>0.05</v>
      </c>
      <c r="N13" s="5">
        <f t="shared" si="3"/>
        <v>50</v>
      </c>
      <c r="O13" s="9">
        <v>4</v>
      </c>
      <c r="P13" s="9">
        <v>35</v>
      </c>
      <c r="Q13" s="4">
        <v>4</v>
      </c>
      <c r="R13" s="9">
        <v>520</v>
      </c>
      <c r="S13" s="10">
        <v>129916.8</v>
      </c>
      <c r="T13" s="10">
        <v>2080</v>
      </c>
      <c r="U13" s="10">
        <v>138.6666666666666</v>
      </c>
      <c r="V13" s="10">
        <v>11.138285714285709</v>
      </c>
      <c r="W13" s="5">
        <v>6495.84</v>
      </c>
      <c r="X13" s="5">
        <v>2080</v>
      </c>
      <c r="Y13" s="5">
        <v>166.4</v>
      </c>
      <c r="Z13" s="5">
        <v>8742.24</v>
      </c>
      <c r="AA13" s="6">
        <f t="shared" si="4"/>
        <v>1.9034023316678562E-2</v>
      </c>
    </row>
    <row r="14" spans="1:27" x14ac:dyDescent="0.45">
      <c r="A14" s="2" t="str">
        <f t="shared" si="0"/>
        <v>T1_IWT</v>
      </c>
      <c r="B14" s="2" t="s">
        <v>313</v>
      </c>
      <c r="C14" s="2">
        <v>1</v>
      </c>
      <c r="D14" s="2" t="s">
        <v>340</v>
      </c>
      <c r="E14" s="2">
        <v>3</v>
      </c>
      <c r="F14" s="10">
        <v>252.76</v>
      </c>
      <c r="G14" s="10">
        <v>7</v>
      </c>
      <c r="H14" s="10">
        <v>6.0000000000000009</v>
      </c>
      <c r="I14" s="10">
        <v>27.694255420161419</v>
      </c>
      <c r="J14" s="10">
        <v>23.737933217281221</v>
      </c>
      <c r="K14" s="10">
        <f t="shared" si="1"/>
        <v>27.694255420161419</v>
      </c>
      <c r="L14" s="10">
        <f t="shared" si="2"/>
        <v>23.737933217281221</v>
      </c>
      <c r="M14" s="10">
        <v>0.03</v>
      </c>
      <c r="N14" s="5">
        <f t="shared" si="3"/>
        <v>30</v>
      </c>
      <c r="O14" s="9">
        <v>3</v>
      </c>
      <c r="P14" s="9">
        <v>12</v>
      </c>
      <c r="Q14" s="4">
        <v>6</v>
      </c>
      <c r="R14" s="9">
        <v>1000</v>
      </c>
      <c r="S14" s="10">
        <v>252760</v>
      </c>
      <c r="T14" s="10">
        <v>7000</v>
      </c>
      <c r="U14" s="10">
        <v>6000.0000000000009</v>
      </c>
      <c r="V14" s="10">
        <v>27.063333333333329</v>
      </c>
      <c r="W14" s="5">
        <v>7582.7999999999993</v>
      </c>
      <c r="X14" s="5">
        <v>3000</v>
      </c>
      <c r="Y14" s="5">
        <v>560</v>
      </c>
      <c r="Z14" s="5">
        <v>11142.8</v>
      </c>
      <c r="AA14" s="6">
        <f t="shared" si="4"/>
        <v>5.0256667982912735E-2</v>
      </c>
    </row>
    <row r="15" spans="1:27" x14ac:dyDescent="0.45">
      <c r="A15" s="2" t="str">
        <f t="shared" si="0"/>
        <v>T2_IWT</v>
      </c>
      <c r="B15" s="2" t="s">
        <v>319</v>
      </c>
      <c r="C15" s="2">
        <v>2</v>
      </c>
      <c r="D15" s="2" t="s">
        <v>340</v>
      </c>
      <c r="E15" s="2">
        <v>3</v>
      </c>
      <c r="F15" s="10">
        <v>302.52999999999997</v>
      </c>
      <c r="G15" s="10">
        <v>8.0000000000000018</v>
      </c>
      <c r="H15" s="10">
        <v>7.0000000000000009</v>
      </c>
      <c r="I15" s="10">
        <v>26.443658480150731</v>
      </c>
      <c r="J15" s="10">
        <v>23.138201170131889</v>
      </c>
      <c r="K15" s="10">
        <f t="shared" si="1"/>
        <v>26.443658480150731</v>
      </c>
      <c r="L15" s="10">
        <f t="shared" si="2"/>
        <v>23.138201170131889</v>
      </c>
      <c r="M15" s="10">
        <v>0.03</v>
      </c>
      <c r="N15" s="5">
        <f t="shared" si="3"/>
        <v>30</v>
      </c>
      <c r="O15" s="9">
        <v>3</v>
      </c>
      <c r="P15" s="9">
        <v>12</v>
      </c>
      <c r="Q15" s="4">
        <v>6</v>
      </c>
      <c r="R15" s="9">
        <v>1000</v>
      </c>
      <c r="S15" s="10">
        <v>302530</v>
      </c>
      <c r="T15" s="10">
        <v>8000.0000000000009</v>
      </c>
      <c r="U15" s="10">
        <v>7000.0000000000009</v>
      </c>
      <c r="V15" s="10">
        <v>31.21083333333333</v>
      </c>
      <c r="W15" s="5">
        <v>9075.9</v>
      </c>
      <c r="X15" s="5">
        <v>3000</v>
      </c>
      <c r="Y15" s="5">
        <v>640.00000000000011</v>
      </c>
      <c r="Z15" s="5">
        <v>12715.9</v>
      </c>
      <c r="AA15" s="6">
        <f t="shared" si="4"/>
        <v>5.0330688350804911E-2</v>
      </c>
    </row>
    <row r="16" spans="1:27" x14ac:dyDescent="0.45">
      <c r="A16" s="2" t="str">
        <f t="shared" si="0"/>
        <v>T3_IWT</v>
      </c>
      <c r="B16" s="2" t="s">
        <v>322</v>
      </c>
      <c r="C16" s="2">
        <v>3</v>
      </c>
      <c r="D16" s="2" t="s">
        <v>340</v>
      </c>
      <c r="E16" s="2">
        <v>3</v>
      </c>
      <c r="F16" s="10">
        <v>92.31</v>
      </c>
      <c r="G16" s="10">
        <v>2.1</v>
      </c>
      <c r="H16" s="10">
        <v>1.8</v>
      </c>
      <c r="I16" s="10">
        <v>22.749431264218391</v>
      </c>
      <c r="J16" s="10">
        <v>19.499512512187199</v>
      </c>
      <c r="K16" s="10">
        <f t="shared" si="1"/>
        <v>22.749431264218391</v>
      </c>
      <c r="L16" s="10">
        <f t="shared" si="2"/>
        <v>19.499512512187199</v>
      </c>
      <c r="M16" s="10">
        <v>0.03</v>
      </c>
      <c r="N16" s="5">
        <f t="shared" si="3"/>
        <v>30</v>
      </c>
      <c r="O16" s="9">
        <v>3</v>
      </c>
      <c r="P16" s="9">
        <v>12</v>
      </c>
      <c r="Q16" s="4">
        <v>6</v>
      </c>
      <c r="R16" s="9">
        <v>1000</v>
      </c>
      <c r="S16" s="10">
        <v>92310</v>
      </c>
      <c r="T16" s="10">
        <v>2100</v>
      </c>
      <c r="U16" s="10">
        <v>1800</v>
      </c>
      <c r="V16" s="10">
        <v>13.692500000000001</v>
      </c>
      <c r="W16" s="5">
        <v>2769.3</v>
      </c>
      <c r="X16" s="5">
        <v>3000</v>
      </c>
      <c r="Y16" s="5">
        <v>168</v>
      </c>
      <c r="Z16" s="5">
        <v>5937.2999999999993</v>
      </c>
      <c r="AA16" s="6">
        <f t="shared" si="4"/>
        <v>2.829568996008287E-2</v>
      </c>
    </row>
    <row r="17" spans="1:27" x14ac:dyDescent="0.45">
      <c r="A17" s="2" t="str">
        <f t="shared" si="0"/>
        <v>T4_IWT</v>
      </c>
      <c r="B17" s="2" t="s">
        <v>325</v>
      </c>
      <c r="C17" s="2">
        <v>4</v>
      </c>
      <c r="D17" s="2" t="s">
        <v>340</v>
      </c>
      <c r="E17" s="2">
        <v>3</v>
      </c>
      <c r="F17" s="10">
        <v>234.8</v>
      </c>
      <c r="G17" s="10">
        <v>6</v>
      </c>
      <c r="H17" s="10">
        <v>5.5</v>
      </c>
      <c r="I17" s="10">
        <v>25.55366269165247</v>
      </c>
      <c r="J17" s="10">
        <v>23.42419080068143</v>
      </c>
      <c r="K17" s="10">
        <f t="shared" si="1"/>
        <v>25.55366269165247</v>
      </c>
      <c r="L17" s="10">
        <f t="shared" si="2"/>
        <v>23.42419080068143</v>
      </c>
      <c r="M17" s="10">
        <v>0.03</v>
      </c>
      <c r="N17" s="5">
        <f t="shared" si="3"/>
        <v>30</v>
      </c>
      <c r="O17" s="9">
        <v>3</v>
      </c>
      <c r="P17" s="9">
        <v>12</v>
      </c>
      <c r="Q17" s="4">
        <v>6</v>
      </c>
      <c r="R17" s="9">
        <v>1000</v>
      </c>
      <c r="S17" s="10">
        <v>234800</v>
      </c>
      <c r="T17" s="10">
        <v>6000</v>
      </c>
      <c r="U17" s="10">
        <v>5500</v>
      </c>
      <c r="V17" s="10">
        <v>25.56666666666667</v>
      </c>
      <c r="W17" s="5">
        <v>7044</v>
      </c>
      <c r="X17" s="5">
        <v>3000</v>
      </c>
      <c r="Y17" s="5">
        <v>480</v>
      </c>
      <c r="Z17" s="5">
        <v>10524</v>
      </c>
      <c r="AA17" s="6">
        <f t="shared" si="4"/>
        <v>4.5610034207525657E-2</v>
      </c>
    </row>
    <row r="18" spans="1:27" x14ac:dyDescent="0.45">
      <c r="A18" s="2" t="str">
        <f t="shared" si="0"/>
        <v>T5_IWT</v>
      </c>
      <c r="B18" s="2" t="s">
        <v>328</v>
      </c>
      <c r="C18" s="2">
        <v>5</v>
      </c>
      <c r="D18" s="2" t="s">
        <v>340</v>
      </c>
      <c r="E18" s="2">
        <v>3</v>
      </c>
      <c r="F18" s="10">
        <v>111.71</v>
      </c>
      <c r="G18" s="10">
        <v>3</v>
      </c>
      <c r="H18" s="10">
        <v>3</v>
      </c>
      <c r="I18" s="10">
        <v>26.855250201414378</v>
      </c>
      <c r="J18" s="10">
        <v>26.855250201414378</v>
      </c>
      <c r="K18" s="10">
        <f t="shared" si="1"/>
        <v>26.855250201414378</v>
      </c>
      <c r="L18" s="10">
        <f t="shared" si="2"/>
        <v>26.855250201414378</v>
      </c>
      <c r="M18" s="10">
        <v>0.03</v>
      </c>
      <c r="N18" s="5">
        <f t="shared" si="3"/>
        <v>30</v>
      </c>
      <c r="O18" s="9">
        <v>3</v>
      </c>
      <c r="P18" s="9">
        <v>12</v>
      </c>
      <c r="Q18" s="4">
        <v>6</v>
      </c>
      <c r="R18" s="9">
        <v>1000</v>
      </c>
      <c r="S18" s="10">
        <v>111710</v>
      </c>
      <c r="T18" s="10">
        <v>3000</v>
      </c>
      <c r="U18" s="10">
        <v>3000</v>
      </c>
      <c r="V18" s="10">
        <v>15.30916666666667</v>
      </c>
      <c r="W18" s="5">
        <v>3351.3</v>
      </c>
      <c r="X18" s="5">
        <v>3000</v>
      </c>
      <c r="Y18" s="5">
        <v>240</v>
      </c>
      <c r="Z18" s="5">
        <v>6591.2999999999993</v>
      </c>
      <c r="AA18" s="6">
        <f t="shared" si="4"/>
        <v>3.6411633516908654E-2</v>
      </c>
    </row>
    <row r="19" spans="1:27" x14ac:dyDescent="0.45">
      <c r="A19" s="2" t="str">
        <f t="shared" si="0"/>
        <v>T6_IWT</v>
      </c>
      <c r="B19" s="2" t="s">
        <v>331</v>
      </c>
      <c r="C19" s="2">
        <v>6</v>
      </c>
      <c r="D19" s="2" t="s">
        <v>340</v>
      </c>
      <c r="E19" s="2">
        <v>3</v>
      </c>
      <c r="F19" s="10">
        <v>267.02</v>
      </c>
      <c r="G19" s="10">
        <v>7</v>
      </c>
      <c r="H19" s="10">
        <v>6.0000000000000009</v>
      </c>
      <c r="I19" s="10">
        <v>26.215264774174219</v>
      </c>
      <c r="J19" s="10">
        <v>22.47022694929219</v>
      </c>
      <c r="K19" s="10">
        <f t="shared" si="1"/>
        <v>26.215264774174219</v>
      </c>
      <c r="L19" s="10">
        <f t="shared" si="2"/>
        <v>22.47022694929219</v>
      </c>
      <c r="M19" s="10">
        <v>0.03</v>
      </c>
      <c r="N19" s="5">
        <f t="shared" si="3"/>
        <v>30</v>
      </c>
      <c r="O19" s="9">
        <v>3</v>
      </c>
      <c r="P19" s="9">
        <v>12</v>
      </c>
      <c r="Q19" s="4">
        <v>6</v>
      </c>
      <c r="R19" s="9">
        <v>1000</v>
      </c>
      <c r="S19" s="10">
        <v>267020</v>
      </c>
      <c r="T19" s="10">
        <v>7000</v>
      </c>
      <c r="U19" s="10">
        <v>6000.0000000000009</v>
      </c>
      <c r="V19" s="10">
        <v>28.251666666666669</v>
      </c>
      <c r="W19" s="5">
        <v>8010.5999999999995</v>
      </c>
      <c r="X19" s="5">
        <v>3000</v>
      </c>
      <c r="Y19" s="5">
        <v>560</v>
      </c>
      <c r="Z19" s="5">
        <v>11570.6</v>
      </c>
      <c r="AA19" s="6">
        <f t="shared" si="4"/>
        <v>4.8398527301954951E-2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</sheetPr>
  <dimension ref="A1:P5"/>
  <sheetViews>
    <sheetView showGridLines="0" workbookViewId="0"/>
  </sheetViews>
  <sheetFormatPr defaultRowHeight="14.25" x14ac:dyDescent="0.45"/>
  <cols>
    <col min="1" max="1" width="13" customWidth="1"/>
    <col min="2" max="2" width="22" customWidth="1"/>
    <col min="3" max="3" width="29" customWidth="1"/>
    <col min="4" max="4" width="19" customWidth="1"/>
    <col min="5" max="6" width="23" customWidth="1"/>
    <col min="7" max="7" width="22" customWidth="1"/>
    <col min="8" max="9" width="18" customWidth="1"/>
    <col min="10" max="10" width="17" customWidth="1"/>
    <col min="11" max="12" width="30" customWidth="1"/>
    <col min="13" max="13" width="29" customWidth="1"/>
    <col min="14" max="14" width="28" customWidth="1"/>
    <col min="15" max="15" width="12" customWidth="1"/>
    <col min="16" max="16" width="40" customWidth="1"/>
  </cols>
  <sheetData>
    <row r="1" spans="1:16" x14ac:dyDescent="0.45">
      <c r="A1" s="3" t="s">
        <v>252</v>
      </c>
      <c r="B1" s="3" t="s">
        <v>254</v>
      </c>
      <c r="C1" s="3" t="s">
        <v>255</v>
      </c>
      <c r="D1" s="3" t="s">
        <v>256</v>
      </c>
      <c r="E1" s="3" t="s">
        <v>257</v>
      </c>
      <c r="F1" s="3" t="s">
        <v>258</v>
      </c>
      <c r="G1" s="3" t="s">
        <v>259</v>
      </c>
      <c r="H1" s="3" t="s">
        <v>260</v>
      </c>
      <c r="I1" s="3" t="s">
        <v>261</v>
      </c>
      <c r="J1" s="3" t="s">
        <v>262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165</v>
      </c>
    </row>
    <row r="2" spans="1:16" x14ac:dyDescent="0.45">
      <c r="A2" t="s">
        <v>364</v>
      </c>
      <c r="B2" t="s">
        <v>365</v>
      </c>
      <c r="C2" t="s">
        <v>366</v>
      </c>
      <c r="D2" t="s">
        <v>367</v>
      </c>
      <c r="E2">
        <v>0.09</v>
      </c>
      <c r="F2">
        <v>0.05</v>
      </c>
      <c r="G2">
        <v>0.03</v>
      </c>
      <c r="H2">
        <v>1</v>
      </c>
      <c r="I2">
        <v>1</v>
      </c>
      <c r="J2">
        <v>1</v>
      </c>
      <c r="K2">
        <v>7.4999999999999997E-2</v>
      </c>
      <c r="L2">
        <v>2.5000000000000001E-2</v>
      </c>
      <c r="M2">
        <v>0.03</v>
      </c>
      <c r="N2">
        <v>80</v>
      </c>
      <c r="O2">
        <v>1</v>
      </c>
      <c r="P2" t="s">
        <v>368</v>
      </c>
    </row>
    <row r="3" spans="1:16" x14ac:dyDescent="0.45">
      <c r="A3" t="s">
        <v>369</v>
      </c>
      <c r="B3" t="s">
        <v>370</v>
      </c>
      <c r="C3" t="s">
        <v>371</v>
      </c>
      <c r="D3" t="s">
        <v>367</v>
      </c>
      <c r="E3">
        <v>0.09</v>
      </c>
      <c r="F3">
        <v>0.05</v>
      </c>
      <c r="G3">
        <v>0.03</v>
      </c>
      <c r="H3">
        <v>1</v>
      </c>
      <c r="I3">
        <v>1</v>
      </c>
      <c r="J3">
        <v>1</v>
      </c>
      <c r="K3">
        <v>7.4999999999999997E-2</v>
      </c>
      <c r="L3">
        <v>2.5000000000000001E-2</v>
      </c>
      <c r="M3">
        <v>0.03</v>
      </c>
      <c r="N3">
        <v>150</v>
      </c>
      <c r="O3">
        <v>1</v>
      </c>
      <c r="P3" t="s">
        <v>372</v>
      </c>
    </row>
    <row r="4" spans="1:16" x14ac:dyDescent="0.45">
      <c r="A4" t="s">
        <v>373</v>
      </c>
      <c r="B4" t="s">
        <v>374</v>
      </c>
      <c r="C4" t="s">
        <v>375</v>
      </c>
      <c r="D4" t="s">
        <v>367</v>
      </c>
      <c r="E4">
        <v>0.11700000000000001</v>
      </c>
      <c r="F4">
        <v>5.2499999999999998E-2</v>
      </c>
      <c r="G4">
        <v>3.15E-2</v>
      </c>
      <c r="H4">
        <v>1</v>
      </c>
      <c r="I4">
        <v>1</v>
      </c>
      <c r="J4">
        <v>1</v>
      </c>
      <c r="K4">
        <v>7.4999999999999997E-2</v>
      </c>
      <c r="L4">
        <v>2.5000000000000001E-2</v>
      </c>
      <c r="M4">
        <v>0.03</v>
      </c>
      <c r="N4">
        <v>80</v>
      </c>
      <c r="O4">
        <v>1</v>
      </c>
      <c r="P4" t="s">
        <v>376</v>
      </c>
    </row>
    <row r="5" spans="1:16" x14ac:dyDescent="0.45">
      <c r="A5" t="s">
        <v>377</v>
      </c>
      <c r="B5" t="s">
        <v>378</v>
      </c>
      <c r="C5" t="s">
        <v>379</v>
      </c>
      <c r="D5" t="s">
        <v>367</v>
      </c>
      <c r="E5">
        <v>0.09</v>
      </c>
      <c r="F5">
        <v>5.7500000000000002E-2</v>
      </c>
      <c r="G5">
        <v>0.03</v>
      </c>
      <c r="H5">
        <v>1</v>
      </c>
      <c r="I5">
        <v>0.8</v>
      </c>
      <c r="J5">
        <v>1</v>
      </c>
      <c r="K5">
        <v>7.4999999999999997E-2</v>
      </c>
      <c r="L5">
        <v>2.6249999999999999E-2</v>
      </c>
      <c r="M5">
        <v>0.03</v>
      </c>
      <c r="N5">
        <v>80</v>
      </c>
      <c r="O5">
        <v>1</v>
      </c>
      <c r="P5" t="s">
        <v>380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E8"/>
  <sheetViews>
    <sheetView showGridLines="0" workbookViewId="0"/>
  </sheetViews>
  <sheetFormatPr defaultRowHeight="14.25" x14ac:dyDescent="0.45"/>
  <cols>
    <col min="1" max="1" width="19" customWidth="1"/>
    <col min="2" max="2" width="21" customWidth="1"/>
    <col min="3" max="4" width="19" customWidth="1"/>
    <col min="5" max="5" width="40" customWidth="1"/>
  </cols>
  <sheetData>
    <row r="1" spans="1:5" ht="24" customHeight="1" x14ac:dyDescent="0.45">
      <c r="A1" s="3" t="s">
        <v>269</v>
      </c>
      <c r="B1" s="3" t="s">
        <v>271</v>
      </c>
      <c r="C1" s="3" t="s">
        <v>272</v>
      </c>
      <c r="D1" s="3" t="s">
        <v>273</v>
      </c>
      <c r="E1" s="3" t="s">
        <v>274</v>
      </c>
    </row>
    <row r="2" spans="1:5" ht="24" customHeight="1" x14ac:dyDescent="0.45">
      <c r="A2" s="2" t="s">
        <v>321</v>
      </c>
      <c r="B2" s="2" t="s">
        <v>381</v>
      </c>
      <c r="C2" s="2" t="s">
        <v>321</v>
      </c>
      <c r="D2" s="2" t="s">
        <v>321</v>
      </c>
      <c r="E2" s="2" t="s">
        <v>382</v>
      </c>
    </row>
    <row r="3" spans="1:5" ht="24" customHeight="1" x14ac:dyDescent="0.45">
      <c r="A3" s="2" t="s">
        <v>327</v>
      </c>
      <c r="B3" s="2" t="s">
        <v>383</v>
      </c>
      <c r="C3" s="2" t="s">
        <v>327</v>
      </c>
      <c r="D3" s="2" t="s">
        <v>327</v>
      </c>
      <c r="E3" s="2" t="s">
        <v>382</v>
      </c>
    </row>
    <row r="4" spans="1:5" ht="24" customHeight="1" x14ac:dyDescent="0.45">
      <c r="A4" s="2" t="s">
        <v>315</v>
      </c>
      <c r="B4" s="2" t="s">
        <v>315</v>
      </c>
      <c r="C4" s="2" t="s">
        <v>315</v>
      </c>
      <c r="D4" s="2" t="s">
        <v>315</v>
      </c>
      <c r="E4" s="2" t="s">
        <v>382</v>
      </c>
    </row>
    <row r="5" spans="1:5" ht="24" customHeight="1" x14ac:dyDescent="0.45">
      <c r="A5" s="2" t="s">
        <v>316</v>
      </c>
      <c r="B5" s="2" t="s">
        <v>384</v>
      </c>
      <c r="C5" s="2" t="s">
        <v>385</v>
      </c>
      <c r="D5" s="2" t="s">
        <v>316</v>
      </c>
      <c r="E5" s="2" t="s">
        <v>382</v>
      </c>
    </row>
    <row r="6" spans="1:5" ht="24" customHeight="1" x14ac:dyDescent="0.45">
      <c r="A6" s="2" t="s">
        <v>324</v>
      </c>
      <c r="B6" s="2" t="s">
        <v>381</v>
      </c>
      <c r="C6" s="2" t="s">
        <v>324</v>
      </c>
      <c r="D6" s="2" t="s">
        <v>324</v>
      </c>
      <c r="E6" s="2" t="s">
        <v>382</v>
      </c>
    </row>
    <row r="7" spans="1:5" ht="24" customHeight="1" x14ac:dyDescent="0.45">
      <c r="A7" s="2" t="s">
        <v>330</v>
      </c>
      <c r="B7" s="2" t="s">
        <v>386</v>
      </c>
      <c r="C7" s="2" t="s">
        <v>330</v>
      </c>
      <c r="D7" s="2" t="s">
        <v>330</v>
      </c>
      <c r="E7" s="2" t="s">
        <v>382</v>
      </c>
    </row>
    <row r="8" spans="1:5" ht="24" customHeight="1" x14ac:dyDescent="0.45">
      <c r="A8" s="2" t="s">
        <v>333</v>
      </c>
      <c r="B8" s="2" t="s">
        <v>386</v>
      </c>
      <c r="C8" s="2" t="s">
        <v>387</v>
      </c>
      <c r="D8" s="2" t="s">
        <v>333</v>
      </c>
      <c r="E8" s="2" t="s">
        <v>382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H19"/>
  <sheetViews>
    <sheetView showGridLines="0" workbookViewId="0"/>
  </sheetViews>
  <sheetFormatPr defaultRowHeight="14.25" x14ac:dyDescent="0.45"/>
  <cols>
    <col min="1" max="1" width="18" customWidth="1"/>
    <col min="2" max="2" width="13" customWidth="1"/>
    <col min="3" max="3" width="12" customWidth="1"/>
    <col min="4" max="5" width="40" customWidth="1"/>
    <col min="6" max="6" width="13" customWidth="1"/>
    <col min="7" max="8" width="40" customWidth="1"/>
  </cols>
  <sheetData>
    <row r="1" spans="1:8" ht="24" customHeight="1" x14ac:dyDescent="0.45">
      <c r="A1" s="3" t="s">
        <v>192</v>
      </c>
      <c r="B1" s="3" t="s">
        <v>152</v>
      </c>
      <c r="C1" s="3" t="s">
        <v>172</v>
      </c>
      <c r="D1" s="3" t="s">
        <v>277</v>
      </c>
      <c r="E1" s="3" t="s">
        <v>278</v>
      </c>
      <c r="F1" s="3" t="s">
        <v>279</v>
      </c>
      <c r="G1" s="3" t="s">
        <v>280</v>
      </c>
      <c r="H1" s="3" t="s">
        <v>281</v>
      </c>
    </row>
    <row r="2" spans="1:8" ht="24" customHeight="1" x14ac:dyDescent="0.45">
      <c r="A2" s="2" t="str">
        <f t="shared" ref="A2:A19" si="0">B2&amp;"_"&amp;C2</f>
        <v>T1_ROAD</v>
      </c>
      <c r="B2" s="2" t="s">
        <v>313</v>
      </c>
      <c r="C2" s="2" t="s">
        <v>334</v>
      </c>
      <c r="D2" s="2" t="s">
        <v>388</v>
      </c>
      <c r="E2" s="2" t="s">
        <v>389</v>
      </c>
      <c r="F2" s="7">
        <v>46019</v>
      </c>
      <c r="G2" s="2" t="s">
        <v>390</v>
      </c>
      <c r="H2" s="2" t="s">
        <v>391</v>
      </c>
    </row>
    <row r="3" spans="1:8" ht="24" customHeight="1" x14ac:dyDescent="0.45">
      <c r="A3" s="2" t="str">
        <f t="shared" si="0"/>
        <v>T1_RAIL</v>
      </c>
      <c r="B3" s="2" t="s">
        <v>313</v>
      </c>
      <c r="C3" s="2" t="s">
        <v>337</v>
      </c>
      <c r="D3" s="2" t="s">
        <v>392</v>
      </c>
      <c r="E3" s="2" t="s">
        <v>389</v>
      </c>
      <c r="F3" s="7">
        <v>46019</v>
      </c>
      <c r="G3" s="2" t="s">
        <v>393</v>
      </c>
      <c r="H3" s="2" t="s">
        <v>394</v>
      </c>
    </row>
    <row r="4" spans="1:8" ht="24" customHeight="1" x14ac:dyDescent="0.45">
      <c r="A4" s="2" t="str">
        <f t="shared" si="0"/>
        <v>T1_IWT</v>
      </c>
      <c r="B4" s="2" t="s">
        <v>313</v>
      </c>
      <c r="C4" s="2" t="s">
        <v>340</v>
      </c>
      <c r="D4" s="2" t="s">
        <v>395</v>
      </c>
      <c r="E4" s="2" t="s">
        <v>389</v>
      </c>
      <c r="F4" s="7">
        <v>46019</v>
      </c>
      <c r="G4" s="2" t="s">
        <v>396</v>
      </c>
      <c r="H4" s="2" t="s">
        <v>394</v>
      </c>
    </row>
    <row r="5" spans="1:8" ht="24" customHeight="1" x14ac:dyDescent="0.45">
      <c r="A5" s="2" t="str">
        <f t="shared" si="0"/>
        <v>T2_ROAD</v>
      </c>
      <c r="B5" s="2" t="s">
        <v>319</v>
      </c>
      <c r="C5" s="2" t="s">
        <v>334</v>
      </c>
      <c r="D5" s="2" t="s">
        <v>388</v>
      </c>
      <c r="E5" s="2" t="s">
        <v>389</v>
      </c>
      <c r="F5" s="7">
        <v>46019</v>
      </c>
      <c r="G5" s="2" t="s">
        <v>390</v>
      </c>
      <c r="H5" s="2" t="s">
        <v>397</v>
      </c>
    </row>
    <row r="6" spans="1:8" ht="24" customHeight="1" x14ac:dyDescent="0.45">
      <c r="A6" s="2" t="str">
        <f t="shared" si="0"/>
        <v>T2_RAIL</v>
      </c>
      <c r="B6" s="2" t="s">
        <v>319</v>
      </c>
      <c r="C6" s="2" t="s">
        <v>337</v>
      </c>
      <c r="D6" s="2" t="s">
        <v>392</v>
      </c>
      <c r="E6" s="2" t="s">
        <v>389</v>
      </c>
      <c r="F6" s="7">
        <v>46019</v>
      </c>
      <c r="G6" s="2" t="s">
        <v>393</v>
      </c>
      <c r="H6" s="2" t="s">
        <v>398</v>
      </c>
    </row>
    <row r="7" spans="1:8" ht="24" customHeight="1" x14ac:dyDescent="0.45">
      <c r="A7" s="2" t="str">
        <f t="shared" si="0"/>
        <v>T2_IWT</v>
      </c>
      <c r="B7" s="2" t="s">
        <v>319</v>
      </c>
      <c r="C7" s="2" t="s">
        <v>340</v>
      </c>
      <c r="D7" s="2" t="s">
        <v>395</v>
      </c>
      <c r="E7" s="2" t="s">
        <v>389</v>
      </c>
      <c r="F7" s="7">
        <v>46019</v>
      </c>
      <c r="G7" s="2" t="s">
        <v>396</v>
      </c>
      <c r="H7" s="2" t="s">
        <v>399</v>
      </c>
    </row>
    <row r="8" spans="1:8" ht="24" customHeight="1" x14ac:dyDescent="0.45">
      <c r="A8" s="2" t="str">
        <f t="shared" si="0"/>
        <v>T3_ROAD</v>
      </c>
      <c r="B8" s="2" t="s">
        <v>322</v>
      </c>
      <c r="C8" s="2" t="s">
        <v>334</v>
      </c>
      <c r="D8" s="2" t="s">
        <v>388</v>
      </c>
      <c r="E8" s="2" t="s">
        <v>389</v>
      </c>
      <c r="F8" s="7">
        <v>46019</v>
      </c>
      <c r="G8" s="2" t="s">
        <v>390</v>
      </c>
      <c r="H8" s="2" t="s">
        <v>400</v>
      </c>
    </row>
    <row r="9" spans="1:8" ht="24" customHeight="1" x14ac:dyDescent="0.45">
      <c r="A9" s="2" t="str">
        <f t="shared" si="0"/>
        <v>T3_RAIL</v>
      </c>
      <c r="B9" s="2" t="s">
        <v>322</v>
      </c>
      <c r="C9" s="2" t="s">
        <v>337</v>
      </c>
      <c r="D9" s="2" t="s">
        <v>392</v>
      </c>
      <c r="E9" s="2" t="s">
        <v>389</v>
      </c>
      <c r="F9" s="7">
        <v>46019</v>
      </c>
      <c r="G9" s="2" t="s">
        <v>393</v>
      </c>
      <c r="H9" s="2" t="s">
        <v>401</v>
      </c>
    </row>
    <row r="10" spans="1:8" ht="24" customHeight="1" x14ac:dyDescent="0.45">
      <c r="A10" s="2" t="str">
        <f t="shared" si="0"/>
        <v>T3_IWT</v>
      </c>
      <c r="B10" s="2" t="s">
        <v>322</v>
      </c>
      <c r="C10" s="2" t="s">
        <v>340</v>
      </c>
      <c r="D10" s="2" t="s">
        <v>395</v>
      </c>
      <c r="E10" s="2" t="s">
        <v>389</v>
      </c>
      <c r="F10" s="7">
        <v>46019</v>
      </c>
      <c r="G10" s="2" t="s">
        <v>396</v>
      </c>
      <c r="H10" s="2" t="s">
        <v>401</v>
      </c>
    </row>
    <row r="11" spans="1:8" ht="24" customHeight="1" x14ac:dyDescent="0.45">
      <c r="A11" s="2" t="str">
        <f t="shared" si="0"/>
        <v>T4_ROAD</v>
      </c>
      <c r="B11" s="2" t="s">
        <v>325</v>
      </c>
      <c r="C11" s="2" t="s">
        <v>334</v>
      </c>
      <c r="D11" s="2" t="s">
        <v>388</v>
      </c>
      <c r="E11" s="2" t="s">
        <v>389</v>
      </c>
      <c r="F11" s="7">
        <v>46019</v>
      </c>
      <c r="G11" s="2" t="s">
        <v>390</v>
      </c>
      <c r="H11" s="2" t="s">
        <v>402</v>
      </c>
    </row>
    <row r="12" spans="1:8" ht="24" customHeight="1" x14ac:dyDescent="0.45">
      <c r="A12" s="2" t="str">
        <f t="shared" si="0"/>
        <v>T4_RAIL</v>
      </c>
      <c r="B12" s="2" t="s">
        <v>325</v>
      </c>
      <c r="C12" s="2" t="s">
        <v>337</v>
      </c>
      <c r="D12" s="2" t="s">
        <v>392</v>
      </c>
      <c r="E12" s="2" t="s">
        <v>389</v>
      </c>
      <c r="F12" s="7">
        <v>46019</v>
      </c>
      <c r="G12" s="2" t="s">
        <v>393</v>
      </c>
      <c r="H12" s="2" t="s">
        <v>403</v>
      </c>
    </row>
    <row r="13" spans="1:8" ht="24" customHeight="1" x14ac:dyDescent="0.45">
      <c r="A13" s="2" t="str">
        <f t="shared" si="0"/>
        <v>T4_IWT</v>
      </c>
      <c r="B13" s="2" t="s">
        <v>325</v>
      </c>
      <c r="C13" s="2" t="s">
        <v>340</v>
      </c>
      <c r="D13" s="2" t="s">
        <v>395</v>
      </c>
      <c r="E13" s="2" t="s">
        <v>389</v>
      </c>
      <c r="F13" s="7">
        <v>46019</v>
      </c>
      <c r="G13" s="2" t="s">
        <v>396</v>
      </c>
      <c r="H13" s="2" t="s">
        <v>403</v>
      </c>
    </row>
    <row r="14" spans="1:8" ht="24" customHeight="1" x14ac:dyDescent="0.45">
      <c r="A14" s="2" t="str">
        <f t="shared" si="0"/>
        <v>T5_ROAD</v>
      </c>
      <c r="B14" s="2" t="s">
        <v>328</v>
      </c>
      <c r="C14" s="2" t="s">
        <v>334</v>
      </c>
      <c r="D14" s="2" t="s">
        <v>388</v>
      </c>
      <c r="E14" s="2" t="s">
        <v>389</v>
      </c>
      <c r="F14" s="7">
        <v>46019</v>
      </c>
      <c r="G14" s="2" t="s">
        <v>390</v>
      </c>
      <c r="H14" s="2" t="s">
        <v>404</v>
      </c>
    </row>
    <row r="15" spans="1:8" ht="24" customHeight="1" x14ac:dyDescent="0.45">
      <c r="A15" s="2" t="str">
        <f t="shared" si="0"/>
        <v>T5_RAIL</v>
      </c>
      <c r="B15" s="2" t="s">
        <v>328</v>
      </c>
      <c r="C15" s="2" t="s">
        <v>337</v>
      </c>
      <c r="D15" s="2" t="s">
        <v>392</v>
      </c>
      <c r="E15" s="2" t="s">
        <v>389</v>
      </c>
      <c r="F15" s="7">
        <v>46019</v>
      </c>
      <c r="G15" s="2" t="s">
        <v>393</v>
      </c>
      <c r="H15" s="2" t="s">
        <v>405</v>
      </c>
    </row>
    <row r="16" spans="1:8" ht="24" customHeight="1" x14ac:dyDescent="0.45">
      <c r="A16" s="2" t="str">
        <f t="shared" si="0"/>
        <v>T5_IWT</v>
      </c>
      <c r="B16" s="2" t="s">
        <v>328</v>
      </c>
      <c r="C16" s="2" t="s">
        <v>340</v>
      </c>
      <c r="D16" s="2" t="s">
        <v>395</v>
      </c>
      <c r="E16" s="2" t="s">
        <v>389</v>
      </c>
      <c r="F16" s="7">
        <v>46019</v>
      </c>
      <c r="G16" s="2" t="s">
        <v>396</v>
      </c>
      <c r="H16" s="2" t="s">
        <v>405</v>
      </c>
    </row>
    <row r="17" spans="1:8" ht="24" customHeight="1" x14ac:dyDescent="0.45">
      <c r="A17" s="2" t="str">
        <f t="shared" si="0"/>
        <v>T6_ROAD</v>
      </c>
      <c r="B17" s="2" t="s">
        <v>331</v>
      </c>
      <c r="C17" s="2" t="s">
        <v>334</v>
      </c>
      <c r="D17" s="2" t="s">
        <v>388</v>
      </c>
      <c r="E17" s="2" t="s">
        <v>389</v>
      </c>
      <c r="F17" s="7">
        <v>46019</v>
      </c>
      <c r="G17" s="2" t="s">
        <v>390</v>
      </c>
      <c r="H17" s="2" t="s">
        <v>406</v>
      </c>
    </row>
    <row r="18" spans="1:8" ht="24" customHeight="1" x14ac:dyDescent="0.45">
      <c r="A18" s="2" t="str">
        <f t="shared" si="0"/>
        <v>T6_RAIL</v>
      </c>
      <c r="B18" s="2" t="s">
        <v>331</v>
      </c>
      <c r="C18" s="2" t="s">
        <v>337</v>
      </c>
      <c r="D18" s="2" t="s">
        <v>392</v>
      </c>
      <c r="E18" s="2" t="s">
        <v>389</v>
      </c>
      <c r="F18" s="7">
        <v>46019</v>
      </c>
      <c r="G18" s="2" t="s">
        <v>393</v>
      </c>
      <c r="H18" s="2" t="s">
        <v>407</v>
      </c>
    </row>
    <row r="19" spans="1:8" ht="24" customHeight="1" x14ac:dyDescent="0.45">
      <c r="A19" s="2" t="str">
        <f t="shared" si="0"/>
        <v>T6_IWT</v>
      </c>
      <c r="B19" s="2" t="s">
        <v>331</v>
      </c>
      <c r="C19" s="2" t="s">
        <v>340</v>
      </c>
      <c r="D19" s="2" t="s">
        <v>395</v>
      </c>
      <c r="E19" s="2" t="s">
        <v>389</v>
      </c>
      <c r="F19" s="7">
        <v>46019</v>
      </c>
      <c r="G19" s="2" t="s">
        <v>396</v>
      </c>
      <c r="H19" s="2" t="s">
        <v>407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A1:C6"/>
  <sheetViews>
    <sheetView showGridLines="0" workbookViewId="0"/>
  </sheetViews>
  <sheetFormatPr defaultRowHeight="14.25" x14ac:dyDescent="0.45"/>
  <cols>
    <col min="1" max="1" width="12" customWidth="1"/>
    <col min="2" max="2" width="22" customWidth="1"/>
    <col min="3" max="3" width="40" customWidth="1"/>
  </cols>
  <sheetData>
    <row r="1" spans="1:3" ht="24" customHeight="1" x14ac:dyDescent="0.45">
      <c r="A1" s="3" t="s">
        <v>282</v>
      </c>
      <c r="B1" s="3" t="s">
        <v>284</v>
      </c>
      <c r="C1" s="3" t="s">
        <v>285</v>
      </c>
    </row>
    <row r="2" spans="1:3" ht="24" customHeight="1" x14ac:dyDescent="0.45">
      <c r="A2" s="2" t="s">
        <v>408</v>
      </c>
      <c r="B2" s="2" t="s">
        <v>409</v>
      </c>
      <c r="C2" s="2" t="s">
        <v>410</v>
      </c>
    </row>
    <row r="3" spans="1:3" ht="24" customHeight="1" x14ac:dyDescent="0.45">
      <c r="A3" s="2" t="s">
        <v>411</v>
      </c>
      <c r="B3" s="2" t="s">
        <v>412</v>
      </c>
      <c r="C3" s="2" t="s">
        <v>413</v>
      </c>
    </row>
    <row r="4" spans="1:3" ht="24" customHeight="1" x14ac:dyDescent="0.45">
      <c r="A4" s="2" t="s">
        <v>414</v>
      </c>
      <c r="B4" s="2" t="s">
        <v>415</v>
      </c>
      <c r="C4" s="2" t="s">
        <v>416</v>
      </c>
    </row>
    <row r="5" spans="1:3" ht="24" customHeight="1" x14ac:dyDescent="0.45">
      <c r="A5" s="2" t="s">
        <v>417</v>
      </c>
      <c r="B5" s="2" t="s">
        <v>418</v>
      </c>
      <c r="C5" s="2" t="s">
        <v>419</v>
      </c>
    </row>
    <row r="6" spans="1:3" ht="24" customHeight="1" x14ac:dyDescent="0.45">
      <c r="A6" s="2" t="s">
        <v>420</v>
      </c>
      <c r="B6" s="2" t="s">
        <v>421</v>
      </c>
      <c r="C6" s="2" t="s">
        <v>422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5A5A5"/>
  </sheetPr>
  <dimension ref="A1:C9"/>
  <sheetViews>
    <sheetView showGridLines="0" workbookViewId="0"/>
  </sheetViews>
  <sheetFormatPr defaultRowHeight="14.25" x14ac:dyDescent="0.45"/>
  <cols>
    <col min="1" max="1" width="28" customWidth="1"/>
    <col min="2" max="2" width="31" customWidth="1"/>
    <col min="3" max="3" width="40" customWidth="1"/>
  </cols>
  <sheetData>
    <row r="1" spans="1:3" ht="24" customHeight="1" x14ac:dyDescent="0.45">
      <c r="A1" s="3" t="s">
        <v>423</v>
      </c>
      <c r="B1" s="3" t="s">
        <v>424</v>
      </c>
      <c r="C1" s="3" t="s">
        <v>425</v>
      </c>
    </row>
    <row r="2" spans="1:3" ht="24" customHeight="1" x14ac:dyDescent="0.45">
      <c r="A2" s="2" t="s">
        <v>426</v>
      </c>
      <c r="B2" s="2" t="s">
        <v>427</v>
      </c>
      <c r="C2" s="2" t="s">
        <v>428</v>
      </c>
    </row>
    <row r="3" spans="1:3" ht="24" customHeight="1" x14ac:dyDescent="0.45">
      <c r="A3" s="2" t="s">
        <v>429</v>
      </c>
      <c r="B3" s="2" t="s">
        <v>427</v>
      </c>
      <c r="C3" s="2" t="s">
        <v>430</v>
      </c>
    </row>
    <row r="4" spans="1:3" ht="24" customHeight="1" x14ac:dyDescent="0.45">
      <c r="A4" s="2" t="s">
        <v>431</v>
      </c>
      <c r="B4" s="2" t="s">
        <v>427</v>
      </c>
      <c r="C4" s="2" t="s">
        <v>432</v>
      </c>
    </row>
    <row r="5" spans="1:3" ht="24" customHeight="1" x14ac:dyDescent="0.45">
      <c r="A5" s="2" t="s">
        <v>433</v>
      </c>
      <c r="B5" s="2" t="s">
        <v>427</v>
      </c>
      <c r="C5" s="2" t="s">
        <v>434</v>
      </c>
    </row>
    <row r="6" spans="1:3" ht="24" customHeight="1" x14ac:dyDescent="0.45">
      <c r="A6" s="2" t="s">
        <v>435</v>
      </c>
      <c r="B6" s="2" t="s">
        <v>427</v>
      </c>
      <c r="C6" s="2" t="s">
        <v>436</v>
      </c>
    </row>
    <row r="7" spans="1:3" ht="24" customHeight="1" x14ac:dyDescent="0.45">
      <c r="A7" s="2" t="s">
        <v>437</v>
      </c>
      <c r="B7" s="2" t="s">
        <v>427</v>
      </c>
      <c r="C7" s="2" t="s">
        <v>438</v>
      </c>
    </row>
    <row r="8" spans="1:3" ht="24" customHeight="1" x14ac:dyDescent="0.45">
      <c r="A8" s="2" t="s">
        <v>439</v>
      </c>
      <c r="B8" s="2" t="s">
        <v>440</v>
      </c>
      <c r="C8" s="2" t="s">
        <v>441</v>
      </c>
    </row>
    <row r="9" spans="1:3" ht="24" customHeight="1" x14ac:dyDescent="0.45">
      <c r="A9" s="2" t="s">
        <v>442</v>
      </c>
      <c r="B9" s="2" t="s">
        <v>440</v>
      </c>
      <c r="C9" s="2" t="s">
        <v>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00_Import_Guide</vt:lpstr>
      <vt:lpstr>Validation_Summary</vt:lpstr>
      <vt:lpstr>Formula_Library</vt:lpstr>
      <vt:lpstr>01_Data_Dictionary</vt:lpstr>
      <vt:lpstr>Project_Assumptions</vt:lpstr>
      <vt:lpstr>Dim_Corridor</vt:lpstr>
      <vt:lpstr>Dim_Mode</vt:lpstr>
      <vt:lpstr>Dim_NodeMapping</vt:lpstr>
      <vt:lpstr>Fact_CorridorMode</vt:lpstr>
      <vt:lpstr>Dim_Scenario</vt:lpstr>
      <vt:lpstr>Dim_City_Map</vt:lpstr>
      <vt:lpstr>Source_CorridorMode</vt:lpstr>
      <vt:lpstr>Method_Notes</vt:lpstr>
      <vt:lpstr>Dropped_from_Original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Kureshi</cp:lastModifiedBy>
  <dcterms:created xsi:type="dcterms:W3CDTF">2026-03-25T17:26:01Z</dcterms:created>
  <dcterms:modified xsi:type="dcterms:W3CDTF">2026-03-26T20:23:28Z</dcterms:modified>
</cp:coreProperties>
</file>